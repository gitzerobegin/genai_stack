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d 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7"/>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30" customWidth="1" min="7" max="7"/>
    <col width="40" customWidth="1" min="8" max="8"/>
    <col width="45" customWidth="1" min="9" max="9"/>
    <col width="7" customWidth="1" min="10" max="10"/>
    <col width="22" customWidth="1" min="11" max="11"/>
    <col width="45" customWidth="1" min="12" max="12"/>
    <col width="45" customWidth="1" min="13" max="13"/>
    <col width="11" customWidth="1" min="14" max="14"/>
    <col width="16" customWidth="1" min="15" max="15"/>
    <col width="25" customWidth="1" min="16" max="16"/>
    <col width="30" customWidth="1" min="17" max="17"/>
    <col width="30" customWidth="1" min="18" max="18"/>
  </cols>
  <sheetData>
    <row r="1">
      <c r="A1" s="1" t="inlineStr">
        <is>
          <t>Series start date (first Tuesday after CP5 sign-off):</t>
        </is>
      </c>
      <c r="E1" s="2" t="n"/>
      <c r="F1" t="inlineStr">
        <is>
          <t>← enter the start Tuesday (dates and times below compute from it; posting time about 08:00 UK)</t>
        </is>
      </c>
    </row>
    <row r="3">
      <c r="A3" s="3" t="inlineStr">
        <is>
          <t>#</t>
        </is>
      </c>
      <c r="B3" s="3" t="inlineStr">
        <is>
          <t>Week</t>
        </is>
      </c>
      <c r="C3" s="3" t="inlineStr">
        <is>
          <t>Day</t>
        </is>
      </c>
      <c r="D3" s="3" t="inlineStr">
        <is>
          <t>Date</t>
        </is>
      </c>
      <c r="E3" s="3" t="inlineStr">
        <is>
          <t>Time (UK)</t>
        </is>
      </c>
      <c r="F3" s="3" t="inlineStr">
        <is>
          <t>Theme</t>
        </is>
      </c>
      <c r="G3" s="3" t="inlineStr">
        <is>
          <t>Pair</t>
        </is>
      </c>
      <c r="H3" s="3" t="inlineStr">
        <is>
          <t>Tension</t>
        </is>
      </c>
      <c r="I3" s="3" t="inlineStr">
        <is>
          <t>Hook (first line)</t>
        </is>
      </c>
      <c r="J3" s="3" t="inlineStr">
        <is>
          <t>Words</t>
        </is>
      </c>
      <c r="K3" s="3" t="inlineStr">
        <is>
          <t>Hashtags</t>
        </is>
      </c>
      <c r="L3" s="3" t="inlineStr">
        <is>
          <t>Visual brief</t>
        </is>
      </c>
      <c r="M3" s="3" t="inlineStr">
        <is>
          <t>Re-verify before posting</t>
        </is>
      </c>
      <c r="N3" s="3" t="inlineStr">
        <is>
          <t>Status</t>
        </is>
      </c>
      <c r="O3" s="3" t="inlineStr">
        <is>
          <t>Cleared</t>
        </is>
      </c>
      <c r="P3" s="3" t="inlineStr">
        <is>
          <t>Published URL</t>
        </is>
      </c>
      <c r="Q3" s="3" t="inlineStr">
        <is>
          <t>Responses / notes</t>
        </is>
      </c>
      <c r="R3" s="3" t="inlineStr">
        <is>
          <t>Full post (master document)</t>
        </is>
      </c>
    </row>
    <row r="4">
      <c r="A4" s="4" t="n">
        <v>1</v>
      </c>
      <c r="B4" s="4" t="n">
        <v>1</v>
      </c>
      <c r="C4" s="4" t="inlineStr">
        <is>
          <t>Tuesday</t>
        </is>
      </c>
      <c r="D4" s="5">
        <f>IF($E$1="","",$E$1+0)</f>
        <v/>
      </c>
      <c r="E4" s="4" t="inlineStr">
        <is>
          <t>08:00</t>
        </is>
      </c>
      <c r="F4" s="4" t="inlineStr">
        <is>
          <t>L9 Evaluation and observability</t>
        </is>
      </c>
      <c r="G4" s="4" t="inlineStr">
        <is>
          <t>Post 2 (C8, Week 1 Thursday). **Bridge:** Tuesday argues that evaluation must exist from day one; Thursday shows that the same eval suite, run independently and kept, is the validation evidence a model-risk function needs.</t>
        </is>
      </c>
      <c r="H4" s="4" t="inlineStr">
        <is>
          <t>The layer that ages slowest is the one most teams build last, and evals added after go-live measure the damage, not the quality.</t>
        </is>
      </c>
      <c r="I4" s="4" t="inlineStr">
        <is>
          <t>Most diagrams of the AI stack put evaluation in the last box. It is the layer that ages slowest — and the one most teams build last.</t>
        </is>
      </c>
      <c r="J4" s="4" t="n">
        <v>261</v>
      </c>
      <c r="K4" s="4" t="inlineStr">
        <is>
          <t>#AIEvaluation #LLMOps</t>
        </is>
      </c>
      <c r="L4" s="4" t="inlineStr">
        <is>
          <t>Two-panel diagram. Left: the original nine-layer stack with "Evals and observability" as the last box. Right: the same stack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M4" s="4" t="inlineStr">
        <is>
          <t>- Arize/Dynatrace completion and the Langfuse/ClickHouse status - Whether OpenAI's Promptfoo acquisition has closed - OpenTelemetry GenAI conventions still at "Development" - The "five of the eleven" count, against the final L9 table</t>
        </is>
      </c>
      <c r="N4" s="4" t="inlineStr">
        <is>
          <t>Draft</t>
        </is>
      </c>
      <c r="O4" s="4" t="inlineStr">
        <is>
          <t>Not required (CP4b)</t>
        </is>
      </c>
      <c r="P4" s="4" t="inlineStr"/>
      <c r="Q4" s="4" t="inlineStr"/>
      <c r="R4" s="4" t="inlineStr">
        <is>
          <t>Master_Architecture: LinkedIn series, Post 1</t>
        </is>
      </c>
    </row>
    <row r="5">
      <c r="A5" s="4" t="n">
        <v>2</v>
      </c>
      <c r="B5" s="4" t="n">
        <v>1</v>
      </c>
      <c r="C5" s="4" t="inlineStr">
        <is>
          <t>Thursday</t>
        </is>
      </c>
      <c r="D5" s="5">
        <f>IF($E$1="","",$E$1+2)</f>
        <v/>
      </c>
      <c r="E5" s="4" t="inlineStr">
        <is>
          <t>08:00</t>
        </is>
      </c>
      <c r="F5" s="4" t="inlineStr">
        <is>
          <t>C8 Model risk, governance and audit</t>
        </is>
      </c>
      <c r="G5" s="4" t="inlineStr">
        <is>
          <t>Post 1 (L9, Week 1 Tuesday). **Bridge:** Tuesday's eval suite becomes Thursday's validation evidence, but only if someone independent challenges it, it is versioned, and it is retained.</t>
        </is>
      </c>
      <c r="H5" s="4" t="inlineStr">
        <is>
          <t>Your eval suite *is* your validation evidence. What model-risk discipline means when the "model" is an agent and the main US guidance has stepped aside.</t>
        </is>
      </c>
      <c r="I5" s="4" t="inlineStr">
        <is>
          <t>In April, the US supervisory guidance that had shaped model risk management since 2011 was replaced. Its successor, SR 26-2, places generative and agentic AI expressly outside its scope.</t>
        </is>
      </c>
      <c r="J5" s="4" t="n">
        <v>253</v>
      </c>
      <c r="K5" s="4" t="inlineStr">
        <is>
          <t>#ModelRisk #AIGovernance</t>
        </is>
      </c>
      <c r="L5"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M5" s="4" t="inlineStr">
        <is>
          <t>- SR 26-2 status, and whether the agencies' AI/GenAI request for information has been published (update the post if it has) - SS1/23 scope statements - Collibra–trail ML completion</t>
        </is>
      </c>
      <c r="N5" s="4" t="inlineStr">
        <is>
          <t>Draft</t>
        </is>
      </c>
      <c r="O5" s="4" t="inlineStr">
        <is>
          <t>Not required (CP4b)</t>
        </is>
      </c>
      <c r="P5" s="4" t="inlineStr"/>
      <c r="Q5" s="4" t="inlineStr"/>
      <c r="R5" s="4" t="inlineStr">
        <is>
          <t>Master_Architecture: LinkedIn series, Post 2</t>
        </is>
      </c>
    </row>
    <row r="6">
      <c r="A6" s="4" t="n">
        <v>3</v>
      </c>
      <c r="B6" s="4" t="n">
        <v>2</v>
      </c>
      <c r="C6" s="4" t="inlineStr">
        <is>
          <t>Tuesday</t>
        </is>
      </c>
      <c r="D6" s="5">
        <f>IF($E$1="","",$E$1+7)</f>
        <v/>
      </c>
      <c r="E6" s="4" t="inlineStr">
        <is>
          <t>08:00</t>
        </is>
      </c>
      <c r="F6" s="4" t="inlineStr">
        <is>
          <t>L8 Data extraction and ingestion</t>
        </is>
      </c>
      <c r="G6" s="4" t="inlineStr">
        <is>
          <t>Post 4 (C3, Week 2 Thursday). **Bridge:** Tuesday shows that quality is decided at ingestion; Thursday shows that residency and privacy are decided there too.</t>
        </is>
      </c>
      <c r="H6" s="4" t="inlineStr">
        <is>
          <t>Some of the most convincing "hallucinations" in enterprise retrieval start in a PDF table parser, not in the model.</t>
        </is>
      </c>
      <c r="I6" s="4" t="inlineStr">
        <is>
          <t>Some of the most convincing "hallucinations" in enterprise retrieval systems are not the model's fault. They start in a table parser.</t>
        </is>
      </c>
      <c r="J6" s="4" t="n">
        <v>236</v>
      </c>
      <c r="K6" s="4" t="inlineStr">
        <is>
          <t>#RAG #DataQuality</t>
        </is>
      </c>
      <c r="L6"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M6" s="4" t="inlineStr">
        <is>
          <t>- "Ten products assessed; only one carries ACL metadata; none emits lineage" (check for new lineage features) - Mistral OCR and Docling version status if mentioned in replies</t>
        </is>
      </c>
      <c r="N6" s="4" t="inlineStr">
        <is>
          <t>Draft</t>
        </is>
      </c>
      <c r="O6" s="4" t="inlineStr">
        <is>
          <t>Not required (CP4b)</t>
        </is>
      </c>
      <c r="P6" s="4" t="inlineStr"/>
      <c r="Q6" s="4" t="inlineStr"/>
      <c r="R6" s="4" t="inlineStr">
        <is>
          <t>Master_Architecture: LinkedIn series, Post 3</t>
        </is>
      </c>
    </row>
    <row r="7">
      <c r="A7" s="4" t="n">
        <v>4</v>
      </c>
      <c r="B7" s="4" t="n">
        <v>2</v>
      </c>
      <c r="C7" s="4" t="inlineStr">
        <is>
          <t>Thursday</t>
        </is>
      </c>
      <c r="D7" s="5">
        <f>IF($E$1="","",$E$1+9)</f>
        <v/>
      </c>
      <c r="E7" s="4" t="inlineStr">
        <is>
          <t>08:00</t>
        </is>
      </c>
      <c r="F7" s="4" t="inlineStr">
        <is>
          <t>C3 DLP and PII protection</t>
        </is>
      </c>
      <c r="G7" s="4" t="inlineStr">
        <is>
          <t>Post 3 (L8, Week 2 Tuesday). **Bridge:** If quality is decided at ingestion, so are residency and privacy; a filter at the prompt arrives too late.</t>
        </is>
      </c>
      <c r="H7" s="4" t="inlineStr">
        <is>
          <t>Data residency and PII decisions are made at ingestion, not at the prompt.</t>
        </is>
      </c>
      <c r="I7" s="4" t="inlineStr">
        <is>
          <t>One analyst question can place the same client identifier in seven places: a prompt, a retrieved chunk, a tool result, a provider's processing region, a trace store, an evaluation dataset and a memory record.</t>
        </is>
      </c>
      <c r="J7" s="4" t="n">
        <v>251</v>
      </c>
      <c r="K7" s="4" t="inlineStr">
        <is>
          <t>#DataProtection #PrivacyEngineering</t>
        </is>
      </c>
      <c r="L7"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M7" s="4" t="inlineStr">
        <is>
          <t>- Status of the DPF appeal C-703/25 P - Presidio governance and licence - Purview DSPM licensing statement</t>
        </is>
      </c>
      <c r="N7" s="4" t="inlineStr">
        <is>
          <t>Draft</t>
        </is>
      </c>
      <c r="O7" s="4" t="inlineStr">
        <is>
          <t>Not required (CP4b)</t>
        </is>
      </c>
      <c r="P7" s="4" t="inlineStr"/>
      <c r="Q7" s="4" t="inlineStr"/>
      <c r="R7" s="4" t="inlineStr">
        <is>
          <t>Master_Architecture: LinkedIn series, Post 4</t>
        </is>
      </c>
    </row>
    <row r="8">
      <c r="A8" s="4" t="n">
        <v>5</v>
      </c>
      <c r="B8" s="4" t="n">
        <v>3</v>
      </c>
      <c r="C8" s="4" t="inlineStr">
        <is>
          <t>Tuesday</t>
        </is>
      </c>
      <c r="D8" s="5">
        <f>IF($E$1="","",$E$1+14)</f>
        <v/>
      </c>
      <c r="E8" s="4" t="inlineStr">
        <is>
          <t>08:00</t>
        </is>
      </c>
      <c r="F8" s="4" t="inlineStr">
        <is>
          <t>L7 Embeddings and reranking</t>
        </is>
      </c>
      <c r="G8" s="4" t="inlineStr">
        <is>
          <t>Post 6 (C5, Week 3 Thursday). **Bridge:** Tuesday ends on "the embedding version is production configuration"; Thursday extends that to prompts and every other setting that changes outputs.</t>
        </is>
      </c>
      <c r="H8" s="4" t="inlineStr">
        <is>
          <t>Retrieval quality is a two-stage problem, and it is easy to tune only one stage.</t>
        </is>
      </c>
      <c r="I8" s="4" t="inlineStr">
        <is>
          <t>Retrieval quality is a two-stage problem, and it is easy to tune only one stage.</t>
        </is>
      </c>
      <c r="J8" s="4" t="n">
        <v>246</v>
      </c>
      <c r="K8" s="4" t="inlineStr">
        <is>
          <t>#InformationRetrieval #RAG</t>
        </is>
      </c>
      <c r="L8"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M8" s="4" t="inlineStr">
        <is>
          <t>- "Every vendor except OpenAI offers both" (check for a new OpenAI reranker) - Current model versions if any are named in replies</t>
        </is>
      </c>
      <c r="N8" s="4" t="inlineStr">
        <is>
          <t>Draft</t>
        </is>
      </c>
      <c r="O8" s="4" t="inlineStr">
        <is>
          <t>Not required (CP4b)</t>
        </is>
      </c>
      <c r="P8" s="4" t="inlineStr"/>
      <c r="Q8" s="4" t="inlineStr"/>
      <c r="R8" s="4" t="inlineStr">
        <is>
          <t>Master_Architecture: LinkedIn series, Post 5</t>
        </is>
      </c>
    </row>
    <row r="9">
      <c r="A9" s="4" t="n">
        <v>6</v>
      </c>
      <c r="B9" s="4" t="n">
        <v>3</v>
      </c>
      <c r="C9" s="4" t="inlineStr">
        <is>
          <t>Thursday</t>
        </is>
      </c>
      <c r="D9" s="5">
        <f>IF($E$1="","",$E$1+16)</f>
        <v/>
      </c>
      <c r="E9" s="4" t="inlineStr">
        <is>
          <t>08:00</t>
        </is>
      </c>
      <c r="F9" s="4" t="inlineStr">
        <is>
          <t>C5 Prompt and configuration management</t>
        </is>
      </c>
      <c r="G9" s="4" t="inlineStr">
        <is>
          <t>Post 5 (L7, Week 3 Tuesday). **Bridge:** If the embedding version is production configuration, so is the prompt, and both need versioning, review and rollback.</t>
        </is>
      </c>
      <c r="H9" s="4" t="inlineStr">
        <is>
          <t>Embedding versions and prompts are both production configuration, so they need versioning, review and rollback.</t>
        </is>
      </c>
      <c r="I9" s="4" t="inlineStr">
        <is>
          <t>A one-sentence edit to a prompt can change outputs as much as a model upgrade. Few organisations would let a model upgrade ship without review. Many let prompts change in a web console.</t>
        </is>
      </c>
      <c r="J9" s="4" t="n">
        <v>251</v>
      </c>
      <c r="K9" s="4" t="inlineStr">
        <is>
          <t>#LLMOps #ChangeManagement</t>
        </is>
      </c>
      <c r="L9"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M9" s="4" t="inlineStr">
        <is>
          <t>- LaunchDarkly product name (AgentControl) - Langfuse and Promptfoo ownership status</t>
        </is>
      </c>
      <c r="N9" s="4" t="inlineStr">
        <is>
          <t>Draft</t>
        </is>
      </c>
      <c r="O9" s="4" t="inlineStr">
        <is>
          <t>Not required (CP4b)</t>
        </is>
      </c>
      <c r="P9" s="4" t="inlineStr"/>
      <c r="Q9" s="4" t="inlineStr"/>
      <c r="R9" s="4" t="inlineStr">
        <is>
          <t>Master_Architecture: LinkedIn series, Post 6</t>
        </is>
      </c>
    </row>
    <row r="10">
      <c r="A10" s="4" t="n">
        <v>7</v>
      </c>
      <c r="B10" s="4" t="n">
        <v>4</v>
      </c>
      <c r="C10" s="4" t="inlineStr">
        <is>
          <t>Tuesday</t>
        </is>
      </c>
      <c r="D10" s="5">
        <f>IF($E$1="","",$E$1+21)</f>
        <v/>
      </c>
      <c r="E10" s="4" t="inlineStr">
        <is>
          <t>08:00</t>
        </is>
      </c>
      <c r="F10" s="4" t="inlineStr">
        <is>
          <t>L6 Retrieval and knowledge stores</t>
        </is>
      </c>
      <c r="G10" s="4" t="inlineStr">
        <is>
          <t>Post 8 (C7, Week 4 Thursday). **Bridge:** Tuesday is about retrieving the right passages under real permissions; Thursday is about the passages someone else wrote for you.</t>
        </is>
      </c>
      <c r="H10" s="4" t="inlineStr">
        <is>
          <t>You may not need a vector database, but you do need retrieval you can measure.</t>
        </is>
      </c>
      <c r="I10" s="4" t="inlineStr">
        <is>
          <t>You may not need a vector database. You do need retrieval you can measure.</t>
        </is>
      </c>
      <c r="J10" s="4" t="n">
        <v>244</v>
      </c>
      <c r="K10" s="4" t="inlineStr">
        <is>
          <t>#VectorSearch #RAG</t>
        </is>
      </c>
      <c r="L10"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M10" s="4" t="inlineStr">
        <is>
          <t>- pgvector version and any new CVEs - Pinecone Nexus and Weaviate licence status</t>
        </is>
      </c>
      <c r="N10" s="4" t="inlineStr">
        <is>
          <t>Draft</t>
        </is>
      </c>
      <c r="O10" s="4" t="inlineStr">
        <is>
          <t>Not required (CP4b)</t>
        </is>
      </c>
      <c r="P10" s="4" t="inlineStr"/>
      <c r="Q10" s="4" t="inlineStr"/>
      <c r="R10" s="4" t="inlineStr">
        <is>
          <t>Master_Architecture: LinkedIn series, Post 7</t>
        </is>
      </c>
    </row>
    <row r="11">
      <c r="A11" s="4" t="n">
        <v>8</v>
      </c>
      <c r="B11" s="4" t="n">
        <v>4</v>
      </c>
      <c r="C11" s="4" t="inlineStr">
        <is>
          <t>Thursday</t>
        </is>
      </c>
      <c r="D11" s="5">
        <f>IF($E$1="","",$E$1+23)</f>
        <v/>
      </c>
      <c r="E11" s="4" t="inlineStr">
        <is>
          <t>08:00</t>
        </is>
      </c>
      <c r="F11" s="4" t="inlineStr">
        <is>
          <t>C7 AI security</t>
        </is>
      </c>
      <c r="G11" s="4" t="inlineStr">
        <is>
          <t>Post 7 (L6, Week 4 Tuesday). **Bridge:** Retrieval brings back passages; some were written by someone who wants your agent to act on them.</t>
        </is>
      </c>
      <c r="H11" s="4" t="inlineStr">
        <is>
          <t>Every retrieved document is untrusted input. Indirect prompt injection is a supply-chain problem.</t>
        </is>
      </c>
      <c r="I11" s="4" t="inlineStr">
        <is>
          <t>A language model follows instructions it finds in any text it reads. Give it tools, and those instructions become actions.</t>
        </is>
      </c>
      <c r="J11" s="4" t="n">
        <v>263</v>
      </c>
      <c r="K11" s="4" t="inlineStr">
        <is>
          <t>#AISecurity #PromptInjection</t>
        </is>
      </c>
      <c r="L11"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M11" s="4" t="inlineStr">
        <is>
          <t>- Any new findings on the March 2026 package compromise (intrusion vector is reported two ways) - Acquisition statuses in the security list</t>
        </is>
      </c>
      <c r="N11" s="4" t="inlineStr">
        <is>
          <t>Draft</t>
        </is>
      </c>
      <c r="O11" s="4" t="inlineStr">
        <is>
          <t>Not required (CP4b)</t>
        </is>
      </c>
      <c r="P11" s="4" t="inlineStr"/>
      <c r="Q11" s="4" t="inlineStr"/>
      <c r="R11" s="4" t="inlineStr">
        <is>
          <t>Master_Architecture: LinkedIn series, Post 8</t>
        </is>
      </c>
    </row>
    <row r="12">
      <c r="A12" s="4" t="n">
        <v>9</v>
      </c>
      <c r="B12" s="4" t="n">
        <v>5</v>
      </c>
      <c r="C12" s="4" t="inlineStr">
        <is>
          <t>Tuesday</t>
        </is>
      </c>
      <c r="D12" s="5">
        <f>IF($E$1="","",$E$1+28)</f>
        <v/>
      </c>
      <c r="E12" s="4" t="inlineStr">
        <is>
          <t>08:00</t>
        </is>
      </c>
      <c r="F12" s="4" t="inlineStr">
        <is>
          <t>L4 Tools, protocols and agent connectivity</t>
        </is>
      </c>
      <c r="G12" s="4" t="inlineStr">
        <is>
          <t>Post 10 (C4, Week 5 Thursday). **Bridge:** Tuesday puts a gateway in front of every tool; Thursday decides who is allowed through it, and on whose behalf.</t>
        </is>
      </c>
      <c r="H12" s="4" t="inlineStr">
        <is>
          <t>Open tool protocols made connecting tools easy, and that is exactly why tool governance now matters.</t>
        </is>
      </c>
      <c r="I12" s="4" t="inlineStr">
        <is>
          <t>Open tool protocols have made it easy to connect an agent to almost anything. That is exactly why tool governance now matters.</t>
        </is>
      </c>
      <c r="J12" s="4" t="n">
        <v>242</v>
      </c>
      <c r="K12" s="4" t="inlineStr">
        <is>
          <t>#AgenticAI #APISecurity</t>
        </is>
      </c>
      <c r="L12"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M12" s="4" t="inlineStr">
        <is>
          <t>- Whether a newer MCP specification makes authorisation mandatory - AAIF governance status of MCP and A2A - MCPTox figures (cite the paper directly if challenged)</t>
        </is>
      </c>
      <c r="N12" s="4" t="inlineStr">
        <is>
          <t>Draft</t>
        </is>
      </c>
      <c r="O12" s="4" t="inlineStr">
        <is>
          <t>Not required (CP4b)</t>
        </is>
      </c>
      <c r="P12" s="4" t="inlineStr"/>
      <c r="Q12" s="4" t="inlineStr"/>
      <c r="R12" s="4" t="inlineStr">
        <is>
          <t>Master_Architecture: LinkedIn series, Post 9</t>
        </is>
      </c>
    </row>
    <row r="13">
      <c r="A13" s="4" t="n">
        <v>10</v>
      </c>
      <c r="B13" s="4" t="n">
        <v>5</v>
      </c>
      <c r="C13" s="4" t="inlineStr">
        <is>
          <t>Thursday</t>
        </is>
      </c>
      <c r="D13" s="5">
        <f>IF($E$1="","",$E$1+30)</f>
        <v/>
      </c>
      <c r="E13" s="4" t="inlineStr">
        <is>
          <t>08:00</t>
        </is>
      </c>
      <c r="F13" s="4" t="inlineStr">
        <is>
          <t>C4 Identity and access for agents</t>
        </is>
      </c>
      <c r="G13" s="4" t="inlineStr">
        <is>
          <t>Post 9 (L4, Week 5 Tuesday). **Bridge:** Once every tool sits behind a gateway, the question is who the agent is, and whose authority it carries.</t>
        </is>
      </c>
      <c r="H13" s="4" t="inlineStr">
        <is>
          <t>"Who did this?" needs an answer when the actor is an agent.</t>
        </is>
      </c>
      <c r="I13" s="4" t="inlineStr">
        <is>
          <t>"Who did this?" is the first question in every incident review. When the actor is an agent, many logs can answer only with the name of a shared service account.</t>
        </is>
      </c>
      <c r="J13" s="4" t="n">
        <v>254</v>
      </c>
      <c r="K13" s="4" t="inlineStr">
        <is>
          <t>#IAM #AgenticAI</t>
        </is>
      </c>
      <c r="L13"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M13" s="4" t="inlineStr">
        <is>
          <t>- Product names and GA status for Entra Agent ID and Okta Agent SSO - Whether any UK or EU rule now names accountability for AI agents</t>
        </is>
      </c>
      <c r="N13" s="4" t="inlineStr">
        <is>
          <t>Draft</t>
        </is>
      </c>
      <c r="O13" s="4" t="inlineStr">
        <is>
          <t>Not required (CP4b)</t>
        </is>
      </c>
      <c r="P13" s="4" t="inlineStr"/>
      <c r="Q13" s="4" t="inlineStr"/>
      <c r="R13" s="4" t="inlineStr">
        <is>
          <t>Master_Architecture: LinkedIn series, Post 10</t>
        </is>
      </c>
    </row>
    <row r="14">
      <c r="A14" s="4" t="n">
        <v>11</v>
      </c>
      <c r="B14" s="4" t="n">
        <v>6</v>
      </c>
      <c r="C14" s="4" t="inlineStr">
        <is>
          <t>Tuesday</t>
        </is>
      </c>
      <c r="D14" s="5">
        <f>IF($E$1="","",$E$1+35)</f>
        <v/>
      </c>
      <c r="E14" s="4" t="inlineStr">
        <is>
          <t>08:00</t>
        </is>
      </c>
      <c r="F14" s="4" t="inlineStr">
        <is>
          <t>L3 Agent frameworks and orchestration</t>
        </is>
      </c>
      <c r="G14" s="4" t="inlineStr">
        <is>
          <t>Post 12 (C2, Week 6 Thursday). **Bridge:** Tuesday decides how much autonomy a process gets; Thursday explains why guardrails cannot make up for a wrong answer to that question.</t>
        </is>
      </c>
      <c r="H14" s="4" t="inlineStr">
        <is>
          <t>Most enterprise "agents" should be deterministic workflows with one judgement step.</t>
        </is>
      </c>
      <c r="I14" s="4" t="inlineStr">
        <is>
          <t>Most of the enterprise "agents" I would approve are not agents at all. They are deterministic workflows with one judgement step.</t>
        </is>
      </c>
      <c r="J14" s="4" t="n">
        <v>256</v>
      </c>
      <c r="K14" s="4" t="inlineStr">
        <is>
          <t>#AgenticAI #WorkflowAutomation</t>
        </is>
      </c>
      <c r="L14"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M14" s="4" t="inlineStr">
        <is>
          <t>- Framework GA and version status; the Agent Builder shutdown date if posting near it - CP4-9 tier statements if any SDK reaches 1.0</t>
        </is>
      </c>
      <c r="N14" s="4" t="inlineStr">
        <is>
          <t>Draft</t>
        </is>
      </c>
      <c r="O14" s="4" t="inlineStr">
        <is>
          <t>Not required (CP4b)</t>
        </is>
      </c>
      <c r="P14" s="4" t="inlineStr"/>
      <c r="Q14" s="4" t="inlineStr"/>
      <c r="R14" s="4" t="inlineStr">
        <is>
          <t>Master_Architecture: LinkedIn series, Post 11</t>
        </is>
      </c>
    </row>
    <row r="15">
      <c r="A15" s="4" t="n">
        <v>12</v>
      </c>
      <c r="B15" s="4" t="n">
        <v>6</v>
      </c>
      <c r="C15" s="4" t="inlineStr">
        <is>
          <t>Thursday</t>
        </is>
      </c>
      <c r="D15" s="5">
        <f>IF($E$1="","",$E$1+37)</f>
        <v/>
      </c>
      <c r="E15" s="4" t="inlineStr">
        <is>
          <t>08:00</t>
        </is>
      </c>
      <c r="F15" s="4" t="inlineStr">
        <is>
          <t>C2 Guardrails</t>
        </is>
      </c>
      <c r="G15" s="4" t="inlineStr">
        <is>
          <t>Post 11 (L3, Week 6 Tuesday). **Bridge:** Tuesday's deterministic design does most of the safety work; guardrails are the second line, not a licence for more autonomy.</t>
        </is>
      </c>
      <c r="H15" s="4" t="inlineStr">
        <is>
          <t>Guardrails cannot fix a workflow that should never have been autonomous.</t>
        </is>
      </c>
      <c r="I15" s="4" t="inlineStr">
        <is>
          <t>Guardrails cannot fix a workflow that should never have been autonomous.</t>
        </is>
      </c>
      <c r="J15" s="4" t="n">
        <v>257</v>
      </c>
      <c r="K15" s="4" t="inlineStr">
        <is>
          <t>#AIGuardrails #ResponsibleAI</t>
        </is>
      </c>
      <c r="L15"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M15" s="4" t="inlineStr">
        <is>
          <t>- NeMo Guardrails version; any new Meta guardrail releases - Preview or GA status of Azure Task Adherence</t>
        </is>
      </c>
      <c r="N15" s="4" t="inlineStr">
        <is>
          <t>Draft</t>
        </is>
      </c>
      <c r="O15" s="4" t="inlineStr">
        <is>
          <t>Not required (CP4b)</t>
        </is>
      </c>
      <c r="P15" s="4" t="inlineStr"/>
      <c r="Q15" s="4" t="inlineStr"/>
      <c r="R15" s="4" t="inlineStr">
        <is>
          <t>Master_Architecture: LinkedIn series, Post 12</t>
        </is>
      </c>
    </row>
    <row r="16">
      <c r="A16" s="4" t="n">
        <v>13</v>
      </c>
      <c r="B16" s="4" t="n">
        <v>7</v>
      </c>
      <c r="C16" s="4" t="inlineStr">
        <is>
          <t>Tuesday</t>
        </is>
      </c>
      <c r="D16" s="5">
        <f>IF($E$1="","",$E$1+42)</f>
        <v/>
      </c>
      <c r="E16" s="4" t="inlineStr">
        <is>
          <t>08:00</t>
        </is>
      </c>
      <c r="F16" s="4" t="inlineStr">
        <is>
          <t>L2 Inference, serving and model access</t>
        </is>
      </c>
      <c r="G16" s="4" t="inlineStr">
        <is>
          <t>Post 14 (C1, Week 7 Thursday). **Bridge:** Tuesday makes managed access the default; Thursday shows the gateway is what keeps that choice reversible.</t>
        </is>
      </c>
      <c r="H16" s="4" t="inlineStr">
        <is>
          <t>Self-hosting is a capacity and operating-model decision, not just a cost decision.</t>
        </is>
      </c>
      <c r="I16" s="4" t="inlineStr">
        <is>
          <t>Self-hosting a model is a capacity and operating-model decision. It is only partly a cost decision.</t>
        </is>
      </c>
      <c r="J16" s="4" t="n">
        <v>253</v>
      </c>
      <c r="K16" s="4" t="inlineStr">
        <is>
          <t>#LLMInference #MLOps</t>
        </is>
      </c>
      <c r="L16"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M16" s="4" t="inlineStr">
        <is>
          <t>- Overflow and residency behaviour statements for each hyperscaler - OpenRouter–Stripe closing; SGLang advisory status</t>
        </is>
      </c>
      <c r="N16" s="4" t="inlineStr">
        <is>
          <t>Draft</t>
        </is>
      </c>
      <c r="O16" s="4" t="inlineStr">
        <is>
          <t>Not required (CP4b)</t>
        </is>
      </c>
      <c r="P16" s="4" t="inlineStr"/>
      <c r="Q16" s="4" t="inlineStr"/>
      <c r="R16" s="4" t="inlineStr">
        <is>
          <t>Master_Architecture: LinkedIn series, Post 13</t>
        </is>
      </c>
    </row>
    <row r="17">
      <c r="A17" s="4" t="n">
        <v>14</v>
      </c>
      <c r="B17" s="4" t="n">
        <v>7</v>
      </c>
      <c r="C17" s="4" t="inlineStr">
        <is>
          <t>Thursday</t>
        </is>
      </c>
      <c r="D17" s="5">
        <f>IF($E$1="","",$E$1+44)</f>
        <v/>
      </c>
      <c r="E17" s="4" t="inlineStr">
        <is>
          <t>08:00</t>
        </is>
      </c>
      <c r="F17" s="4" t="inlineStr">
        <is>
          <t>C1 AI / LLM gateway</t>
        </is>
      </c>
      <c r="G17" s="4" t="inlineStr">
        <is>
          <t>Post 13 (L2, Week 7 Tuesday). **Bridge:** Managed access is only a safe default if you can leave it; the gateway is what makes leaving a configuration change.</t>
        </is>
      </c>
      <c r="H17" s="4" t="inlineStr">
        <is>
          <t>The most boring component is the one that makes model switching, and exit plans, possible.</t>
        </is>
      </c>
      <c r="I17" s="4" t="inlineStr">
        <is>
          <t>The most boring component in the AI stack is the one that makes an exit plan real.</t>
        </is>
      </c>
      <c r="J17" s="4" t="n">
        <v>252</v>
      </c>
      <c r="K17" s="4" t="inlineStr">
        <is>
          <t>#AIGateway #OperationalResilience</t>
        </is>
      </c>
      <c r="L17"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M17" s="4" t="inlineStr">
        <is>
          <t>- The PS7/26 / PS26/2 effective date (18 March 2027) - Ownership status of Portkey and OpenRouter - Azure APIM AI Gateway tier status</t>
        </is>
      </c>
      <c r="N17" s="4" t="inlineStr">
        <is>
          <t>Draft</t>
        </is>
      </c>
      <c r="O17" s="4" t="inlineStr">
        <is>
          <t>Not required (CP4b)</t>
        </is>
      </c>
      <c r="P17" s="4" t="inlineStr"/>
      <c r="Q17" s="4" t="inlineStr"/>
      <c r="R17" s="4" t="inlineStr">
        <is>
          <t>Master_Architecture: LinkedIn series, Post 14</t>
        </is>
      </c>
    </row>
    <row r="18">
      <c r="A18" s="4" t="n">
        <v>15</v>
      </c>
      <c r="B18" s="4" t="n">
        <v>8</v>
      </c>
      <c r="C18" s="4" t="inlineStr">
        <is>
          <t>Tuesday</t>
        </is>
      </c>
      <c r="D18" s="5">
        <f>IF($E$1="","",$E$1+49)</f>
        <v/>
      </c>
      <c r="E18" s="4" t="inlineStr">
        <is>
          <t>08:00</t>
        </is>
      </c>
      <c r="F18" s="4" t="inlineStr">
        <is>
          <t>L1 Foundation models</t>
        </is>
      </c>
      <c r="G18" s="4" t="inlineStr">
        <is>
          <t>Post 16 (C6, Week 8 Thursday). **Bridge:** A portfolio of models needs a way to choose between them on cost without fooling yourself; Thursday supplies the metric.</t>
        </is>
      </c>
      <c r="H18" s="4" t="inlineStr">
        <is>
          <t>Treat models as a portfolio, not a bet.</t>
        </is>
      </c>
      <c r="I18" s="4" t="inlineStr">
        <is>
          <t>Treat foundation models as a portfolio, not a bet.</t>
        </is>
      </c>
      <c r="J18" s="4" t="n">
        <v>241</v>
      </c>
      <c r="K18" s="4" t="inlineStr">
        <is>
          <t>#FoundationModels #VendorRisk</t>
        </is>
      </c>
      <c r="L18"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M18" s="4" t="inlineStr">
        <is>
          <t>- The Gemini Flash retirement date and the Claude Fable 5 suspension dates (both cited in the first comment) - Current model families and versions, which change monthly - CP4 tier decisions as published in the final document</t>
        </is>
      </c>
      <c r="N18" s="4" t="inlineStr">
        <is>
          <t>Draft</t>
        </is>
      </c>
      <c r="O18" s="4" t="inlineStr">
        <is>
          <t>Not required (CP4b)</t>
        </is>
      </c>
      <c r="P18" s="4" t="inlineStr"/>
      <c r="Q18" s="4" t="inlineStr"/>
      <c r="R18" s="4" t="inlineStr">
        <is>
          <t>Master_Architecture: LinkedIn series, Post 15</t>
        </is>
      </c>
    </row>
    <row r="19">
      <c r="A19" s="4" t="n">
        <v>16</v>
      </c>
      <c r="B19" s="4" t="n">
        <v>8</v>
      </c>
      <c r="C19" s="4" t="inlineStr">
        <is>
          <t>Thursday</t>
        </is>
      </c>
      <c r="D19" s="5">
        <f>IF($E$1="","",$E$1+51)</f>
        <v/>
      </c>
      <c r="E19" s="4" t="inlineStr">
        <is>
          <t>08:00</t>
        </is>
      </c>
      <c r="F19" s="4" t="inlineStr">
        <is>
          <t>C6 AI FinOps</t>
        </is>
      </c>
      <c r="G19" s="4" t="inlineStr">
        <is>
          <t>Post 15 (L1, Week 8 Tuesday). **Bridge:** A model portfolio is only as good as the cost metric used to choose within it, and cost per token is the wrong one.</t>
        </is>
      </c>
      <c r="H19" s="4" t="inlineStr">
        <is>
          <t>Cost per task, not cost per token, is the metric executives understand.</t>
        </is>
      </c>
      <c r="I19" s="4" t="inlineStr">
        <is>
          <t>Cost per token is the number on the price list. Cost per task is the number executives understand, and the one that tells you whether a change saved anything.</t>
        </is>
      </c>
      <c r="J19" s="4" t="n">
        <v>262</v>
      </c>
      <c r="K19" s="4" t="inlineStr">
        <is>
          <t>#FinOps #UnitEconomics</t>
        </is>
      </c>
      <c r="L19"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M19" s="4" t="inlineStr">
        <is>
          <t>- List prices used in the illustrative arithmetic (they change often; "well under a dollar" should still hold) - FOCUS 1.5 ratification status</t>
        </is>
      </c>
      <c r="N19" s="4" t="inlineStr">
        <is>
          <t>Draft</t>
        </is>
      </c>
      <c r="O19" s="4" t="inlineStr">
        <is>
          <t>Not required (CP4b)</t>
        </is>
      </c>
      <c r="P19" s="4" t="inlineStr"/>
      <c r="Q19" s="4" t="inlineStr"/>
      <c r="R19" s="4" t="inlineStr">
        <is>
          <t>Master_Architecture: LinkedIn series, Post 16</t>
        </is>
      </c>
    </row>
    <row r="20">
      <c r="A20" s="4" t="n">
        <v>17</v>
      </c>
      <c r="B20" s="4" t="n">
        <v>9</v>
      </c>
      <c r="C20" s="4" t="inlineStr">
        <is>
          <t>Tuesday</t>
        </is>
      </c>
      <c r="D20" s="5">
        <f>IF($E$1="","",$E$1+56)</f>
        <v/>
      </c>
      <c r="E20" s="4" t="inlineStr">
        <is>
          <t>08:00</t>
        </is>
      </c>
      <c r="F20" s="4" t="inlineStr">
        <is>
          <t>L5 Memory (deliberately last)</t>
        </is>
      </c>
      <c r="G20" s="4" t="inlineStr">
        <is>
          <t>Post 18 (Regulated reality, Week 9 Thursday). **Bridge:** Memory is where governance gets personal (erasure, retention, reproducibility); Thursday steps back to the regulations that frame all of it.</t>
        </is>
      </c>
      <c r="H20" s="4" t="inlineStr">
        <is>
          <t>What an agent remembers is a governance question before it is a technical one, which is why memory comes last.</t>
        </is>
      </c>
      <c r="I20" s="4" t="inlineStr">
        <is>
          <t>I left memory until week nine on purpose. What an agent remembers is a governance question before it is a technical one, and it is the layer I would build last.</t>
        </is>
      </c>
      <c r="J20" s="4" t="n">
        <v>265</v>
      </c>
      <c r="K20" s="4" t="inlineStr">
        <is>
          <t>#AgentMemory #DataProtection</t>
        </is>
      </c>
      <c r="L20"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M20" s="4" t="inlineStr">
        <is>
          <t>- ICO guidance (under review following the Data (Use and Access) Act) - Memory product defaults (TTL and pruning) and LangMem release status</t>
        </is>
      </c>
      <c r="N20" s="4" t="inlineStr">
        <is>
          <t>Draft</t>
        </is>
      </c>
      <c r="O20" s="4" t="inlineStr">
        <is>
          <t>Not required (CP4b)</t>
        </is>
      </c>
      <c r="P20" s="4" t="inlineStr"/>
      <c r="Q20" s="4" t="inlineStr"/>
      <c r="R20" s="4" t="inlineStr">
        <is>
          <t>Master_Architecture: LinkedIn series, Post 17</t>
        </is>
      </c>
    </row>
    <row r="21">
      <c r="A21" s="4" t="n">
        <v>18</v>
      </c>
      <c r="B21" s="4" t="n">
        <v>9</v>
      </c>
      <c r="C21" s="4" t="inlineStr">
        <is>
          <t>Thursday</t>
        </is>
      </c>
      <c r="D21" s="5">
        <f>IF($E$1="","",$E$1+58)</f>
        <v/>
      </c>
      <c r="E21" s="4" t="inlineStr">
        <is>
          <t>08:00</t>
        </is>
      </c>
      <c r="F21" s="4" t="inlineStr">
        <is>
          <t>Regulated reality: EU AI Act and DORA</t>
        </is>
      </c>
      <c r="G21" s="4" t="inlineStr">
        <is>
          <t>Post 17 (L5, Week 9 Tuesday). **Bridge:** After eight weeks of layers and controls, the regulatory frame explains why multi-vendor design and retained evidence stop being optional.</t>
        </is>
      </c>
      <c r="H21" s="4" t="inlineStr">
        <is>
          <t>Concentration risk turns multi-vendor from a preference into a requirement.</t>
        </is>
      </c>
      <c r="I21" s="4" t="inlineStr">
        <is>
          <t>Concentration risk is turning multi-vendor AI from a preference into something close to a requirement.</t>
        </is>
      </c>
      <c r="J21" s="4" t="n">
        <v>267</v>
      </c>
      <c r="K21" s="4" t="inlineStr">
        <is>
          <t>#EUAIAct #DORA</t>
        </is>
      </c>
      <c r="L21"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M21"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N21" s="4" t="inlineStr">
        <is>
          <t>Draft</t>
        </is>
      </c>
      <c r="O21" s="4" t="inlineStr">
        <is>
          <t>Not required (CP4b)</t>
        </is>
      </c>
      <c r="P21" s="4" t="inlineStr"/>
      <c r="Q21" s="4" t="inlineStr"/>
      <c r="R21" s="4" t="inlineStr">
        <is>
          <t>Master_Architecture: LinkedIn series, Post 18</t>
        </is>
      </c>
    </row>
    <row r="22">
      <c r="A22" s="4" t="n">
        <v>19</v>
      </c>
      <c r="B22" s="4" t="n">
        <v>10</v>
      </c>
      <c r="C22" s="4" t="inlineStr">
        <is>
          <t>Tuesday</t>
        </is>
      </c>
      <c r="D22" s="5">
        <f>IF($E$1="","",$E$1+63)</f>
        <v/>
      </c>
      <c r="E22" s="4" t="inlineStr">
        <is>
          <t>08:00</t>
        </is>
      </c>
      <c r="F22" s="4" t="inlineStr">
        <is>
          <t>The worked example, end to end</t>
        </is>
      </c>
      <c r="G22" s="4" t="inlineStr">
        <is>
          <t>Post 20 (Start small, Week 10 Thursday). **Bridge:** Tuesday shows the full worked example and its "never" list; Thursday shows the minimum platform needed to run it, and what to leave out.</t>
        </is>
      </c>
      <c r="H22" s="4" t="inlineStr">
        <is>
          <t>What the attribution-commentary agent must never do matters more than what it can do.</t>
        </is>
      </c>
      <c r="I22" s="4" t="inlineStr">
        <is>
          <t>For nine weeks one example has run underneath this series: an agent that drafts the monthly performance-attribution commentary for a multi-asset fund, with a portfolio manager approving every draft. It is generic and illustrative. Here it is in one place.</t>
        </is>
      </c>
      <c r="J22" s="4" t="n">
        <v>265</v>
      </c>
      <c r="K22" s="4" t="inlineStr">
        <is>
          <t>#AgenticAI #AIGovernance</t>
        </is>
      </c>
      <c r="L22" s="4" t="inlineStr">
        <is>
          <t>Two-column "may / must never" table for the worked example. Each "never" row has its enforcing component in a coloured chip (read-only tool, numeric comparator, approval interrupt, allow-list, tokenisation, entitlement filter, version pin). Beneath it, the eight-tile evidence pack keyed to one trace ID. Source: synthesis VI.3 and VI.4. Label: "generic, illustrative".</t>
        </is>
      </c>
      <c r="M22" s="4" t="inlineStr">
        <is>
          <t>- No product or regulatory facts in the body. Check that the first comment's per-cloud examples match the final document.</t>
        </is>
      </c>
      <c r="N22" s="4" t="inlineStr">
        <is>
          <t>Draft</t>
        </is>
      </c>
      <c r="O22" s="4" t="inlineStr">
        <is>
          <t>Not required (CP4b)</t>
        </is>
      </c>
      <c r="P22" s="4" t="inlineStr"/>
      <c r="Q22" s="4" t="inlineStr"/>
      <c r="R22" s="4" t="inlineStr">
        <is>
          <t>Master_Architecture: LinkedIn series, Post 19</t>
        </is>
      </c>
    </row>
    <row r="23">
      <c r="A23" s="4" t="n">
        <v>20</v>
      </c>
      <c r="B23" s="4" t="n">
        <v>10</v>
      </c>
      <c r="C23" s="4" t="inlineStr">
        <is>
          <t>Thursday</t>
        </is>
      </c>
      <c r="D23" s="5">
        <f>IF($E$1="","",$E$1+65)</f>
        <v/>
      </c>
      <c r="E23" s="4" t="inlineStr">
        <is>
          <t>08:00</t>
        </is>
      </c>
      <c r="F23" s="4" t="inlineStr">
        <is>
          <t>Start small</t>
        </is>
      </c>
      <c r="G23" s="4" t="inlineStr">
        <is>
          <t>Post 19 (Worked example, Week 10 Tuesday). **Bridge:** Tuesday's agent needs a platform; Thursday argues that the minimum platform, plus a published "not yet" list, is the right first release.</t>
        </is>
      </c>
      <c r="H23" s="4" t="inlineStr">
        <is>
          <t>The most valuable part of a reference architecture is the "do not build yet" list.</t>
        </is>
      </c>
      <c r="I23" s="4" t="inlineStr">
        <is>
          <t>The most valuable page in a reference architecture is often the "do not build yet" list.</t>
        </is>
      </c>
      <c r="J23" s="4" t="n">
        <v>264</v>
      </c>
      <c r="K23" s="4" t="inlineStr">
        <is>
          <t>#EnterpriseArchitecture #AgenticAI</t>
        </is>
      </c>
      <c r="L23" s="4" t="inlineStr">
        <is>
          <t>Two panels. Left, "Build now": the Stack D minimum as a compact stack (gateway ×2, identity, manifest, checks, eval suite, one store, one workflow, two models). Right, "Do NOT build yet": the not-yet items as greyed-out tiles, each with a one-word trigger for revisiting it ("evidence", "load test", "use case"). Source: synthesis Part VII, Stack D.</t>
        </is>
      </c>
      <c r="M23" s="4" t="inlineStr">
        <is>
          <t>- The not-yet list against the final Part VII and the Part XI tiers (anything promoted from Experimental)</t>
        </is>
      </c>
      <c r="N23" s="4" t="inlineStr">
        <is>
          <t>Draft</t>
        </is>
      </c>
      <c r="O23" s="4" t="inlineStr">
        <is>
          <t>Not required (CP4b)</t>
        </is>
      </c>
      <c r="P23" s="4" t="inlineStr"/>
      <c r="Q23" s="4" t="inlineStr"/>
      <c r="R23" s="4" t="inlineStr">
        <is>
          <t>Master_Architecture: LinkedIn series, Post 20</t>
        </is>
      </c>
    </row>
    <row r="24">
      <c r="A24" s="4" t="n">
        <v>21</v>
      </c>
      <c r="B24" s="4" t="n">
        <v>11</v>
      </c>
      <c r="C24" s="4" t="inlineStr">
        <is>
          <t>Tuesday</t>
        </is>
      </c>
      <c r="D24" s="5">
        <f>IF($E$1="","",$E$1+70)</f>
        <v/>
      </c>
      <c r="E24" s="4" t="inlineStr">
        <is>
          <t>08:00</t>
        </is>
      </c>
      <c r="F24" s="4" t="inlineStr">
        <is>
          <t>Build vs buy</t>
        </is>
      </c>
      <c r="G24" s="4" t="inlineStr">
        <is>
          <t>Post 22 (Where not to abstract, Week 11 Thursday). **Bridge:** Tuesday says to own a thin interface in front of what you buy; Thursday warns against owning too many interfaces.</t>
        </is>
      </c>
      <c r="H24" s="4" t="inlineStr">
        <is>
          <t>Build where you differentiate, buy where you would only be maintaining.</t>
        </is>
      </c>
      <c r="I24" s="4" t="inlineStr">
        <is>
          <t>Build where you differentiate. Buy where you would only be maintaining.</t>
        </is>
      </c>
      <c r="J24" s="4" t="n">
        <v>257</v>
      </c>
      <c r="K24" s="4" t="inlineStr">
        <is>
          <t>#EnterpriseArchitecture #BuildVsBuy</t>
        </is>
      </c>
      <c r="L24" s="4" t="inlineStr">
        <is>
          <t>Three-column board, "Build · Hybrid · Buy", with the 17 layers and controls placed as cards (for example, Build: tool servers, configuration of record, evidence store; Hybrid: gateway, guardrails, privacy, evaluation, retrieval optimisation; Buy: security tooling, foundation models, serving access). A separate red card reads "Do not build yet: fine-tuning". Source: synthesis Part VIII table.</t>
        </is>
      </c>
      <c r="M24" s="4" t="inlineStr">
        <is>
          <t>- No dated facts in the body. Check the Article 25 wording if challenged ("can, in some cases").</t>
        </is>
      </c>
      <c r="N24" s="4" t="inlineStr">
        <is>
          <t>Draft</t>
        </is>
      </c>
      <c r="O24" s="4" t="inlineStr">
        <is>
          <t>Not required (CP4b)</t>
        </is>
      </c>
      <c r="P24" s="4" t="inlineStr"/>
      <c r="Q24" s="4" t="inlineStr"/>
      <c r="R24" s="4" t="inlineStr">
        <is>
          <t>Master_Architecture: LinkedIn series, Post 21</t>
        </is>
      </c>
    </row>
    <row r="25">
      <c r="A25" s="4" t="n">
        <v>22</v>
      </c>
      <c r="B25" s="4" t="n">
        <v>11</v>
      </c>
      <c r="C25" s="4" t="inlineStr">
        <is>
          <t>Thursday</t>
        </is>
      </c>
      <c r="D25" s="5">
        <f>IF($E$1="","",$E$1+72)</f>
        <v/>
      </c>
      <c r="E25" s="4" t="inlineStr">
        <is>
          <t>08:00</t>
        </is>
      </c>
      <c r="F25" s="4" t="inlineStr">
        <is>
          <t>Where not to abstract</t>
        </is>
      </c>
      <c r="G25" s="4" t="inlineStr">
        <is>
          <t>Post 21 (Build vs buy, Week 11 Tuesday). **Bridge:** Tuesday's thin firm-owned interfaces are the right default; Thursday names where adding one is the mistake.</t>
        </is>
      </c>
      <c r="H25" s="4" t="inlineStr">
        <is>
          <t>Frameworks on top of frameworks.</t>
        </is>
      </c>
      <c r="I25" s="4" t="inlineStr">
        <is>
          <t>Abstraction is how an architecture stays reversible. Too much of it is how an architecture stops moving.</t>
        </is>
      </c>
      <c r="J25" s="4" t="n">
        <v>253</v>
      </c>
      <c r="K25" s="4" t="inlineStr">
        <is>
          <t>#SoftwareArchitecture #AgenticAI</t>
        </is>
      </c>
      <c r="L25" s="4" t="inlineStr">
        <is>
          <t>Two lists side by side. "Abstract (thin, firm-owned)": routing contract, telemetry collector, datasets, credentials, policy, retrieval interface, embed/rerank, privacy API, memory API, config fetch. "Do not over-abstract": agent frameworks, single-workflow plug-ins, plain database access, store-bundled features, vendor model extras. A small strip beneath shows "multi-vendor necessary" versus "multi-vendor only adds complexity". Source: synthesis IX.1–IX.3.</t>
        </is>
      </c>
      <c r="M25" s="4" t="inlineStr">
        <is>
          <t>- No dated facts in the body.</t>
        </is>
      </c>
      <c r="N25" s="4" t="inlineStr">
        <is>
          <t>Draft</t>
        </is>
      </c>
      <c r="O25" s="4" t="inlineStr">
        <is>
          <t>Not required (CP4b)</t>
        </is>
      </c>
      <c r="P25" s="4" t="inlineStr"/>
      <c r="Q25" s="4" t="inlineStr"/>
      <c r="R25" s="4" t="inlineStr">
        <is>
          <t>Master_Architecture: LinkedIn series, Post 22</t>
        </is>
      </c>
    </row>
    <row r="26">
      <c r="A26" s="4" t="n">
        <v>23</v>
      </c>
      <c r="B26" s="4" t="n">
        <v>12</v>
      </c>
      <c r="C26" s="4" t="inlineStr">
        <is>
          <t>Tuesday</t>
        </is>
      </c>
      <c r="D26" s="5">
        <f>IF($E$1="","",$E$1+77)</f>
        <v/>
      </c>
      <c r="E26" s="4" t="inlineStr">
        <is>
          <t>08:00</t>
        </is>
      </c>
      <c r="F26" s="4" t="inlineStr">
        <is>
          <t>Which lock-in is acceptable</t>
        </is>
      </c>
      <c r="G26" s="4" t="inlineStr">
        <is>
          <t>Post 24 (Close, Week 12 Thursday). **Bridge:** Tuesday classifies which dependencies are worth accepting; Thursday applies that to the final stack: what I would select, and what I would deliberately leave out.</t>
        </is>
      </c>
      <c r="H26" s="4" t="inlineStr">
        <is>
          <t>Some lock-in is a good trade, and the skill is knowing which.</t>
        </is>
      </c>
      <c r="I26" s="4" t="inlineStr">
        <is>
          <t>Some lock-in is a good trade. The skill is knowing which.</t>
        </is>
      </c>
      <c r="J26" s="4" t="n">
        <v>257</v>
      </c>
      <c r="K26" s="4" t="inlineStr">
        <is>
          <t>#VendorRisk #EnterpriseArchitecture</t>
        </is>
      </c>
      <c r="L26" s="4" t="inlineStr">
        <is>
          <t>Heat-map table: the 17 layers and controls as rows; columns "acceptable", "manageable", "unacceptable"; each cell a short phrase from the synthesis table (vendor names removed). A highlighted band across the "unacceptable" column reads "the firm's own records: evidence, configuration, datasets, credentials". Source: synthesis IX.4.</t>
        </is>
      </c>
      <c r="M26" s="4" t="inlineStr">
        <is>
          <t>- Lock-in categories against the final Part IX.4 table - Any new ownership change in a "manageable" category</t>
        </is>
      </c>
      <c r="N26" s="4" t="inlineStr">
        <is>
          <t>Draft</t>
        </is>
      </c>
      <c r="O26" s="4" t="inlineStr">
        <is>
          <t>Not required (CP4b)</t>
        </is>
      </c>
      <c r="P26" s="4" t="inlineStr"/>
      <c r="Q26" s="4" t="inlineStr"/>
      <c r="R26" s="4" t="inlineStr">
        <is>
          <t>Master_Architecture: LinkedIn series, Post 23</t>
        </is>
      </c>
    </row>
    <row r="27">
      <c r="A27" s="4" t="n">
        <v>24</v>
      </c>
      <c r="B27" s="4" t="n">
        <v>12</v>
      </c>
      <c r="C27" s="4" t="inlineStr">
        <is>
          <t>Thursday</t>
        </is>
      </c>
      <c r="D27" s="5">
        <f>IF($E$1="","",$E$1+79)</f>
        <v/>
      </c>
      <c r="E27" s="4" t="inlineStr">
        <is>
          <t>08:00</t>
        </is>
      </c>
      <c r="F27" s="4" t="inlineStr">
        <is>
          <t>Close: what I'd select, and what I'd deliberately not select</t>
        </is>
      </c>
      <c r="G27" s="4" t="inlineStr">
        <is>
          <t>Post 23 (Which lock-in is acceptable, Week 12 Tuesday). **Bridge:** Tuesday's lock-in classification is the filter; Thursday shows what passes through it, what does not, and what leading the change actually requires.</t>
        </is>
      </c>
      <c r="H27" s="4" t="inlineStr">
        <is>
          <t>The full stack on one page, plus a lesson about leading the transformation.</t>
        </is>
      </c>
      <c r="I27" s="4" t="inlineStr">
        <is>
          <t>Twelve weeks ago this series started from a popular diagram of the AI stack. On this review, 39 of its 80 product tiles were out of date. The diagram was a catalogue. The enterprise problem is a control system.</t>
        </is>
      </c>
      <c r="J27" s="4" t="n">
        <v>269</v>
      </c>
      <c r="K27" s="4" t="inlineStr">
        <is>
          <t>#EnterpriseArchitecture #AIGovernance</t>
        </is>
      </c>
      <c r="L27" s="4" t="inlineStr">
        <is>
          <t>The one-page architecture from synthesis I.2, with vendor names removed: control plane (C1–C8 with the L9 evidence plane) across the top; agent, knowledge and model planes beneath. To the right, a short "Deliberately not selected" column with the categories from XI.5 and XI.7. Optional carousel: slide 1 the original diagram with 39 tiles flagged; slide 2 the one-page architecture; slide 3 the twelve decisions; slide 4 "not selected".</t>
        </is>
      </c>
      <c r="M27" s="4" t="inlineStr">
        <is>
          <t>- The final Part XI lists (avoid and monitor), especially any item that has changed tier since October 2026 - Ownership and status changes across the products in the first comment</t>
        </is>
      </c>
      <c r="N27" s="4" t="inlineStr">
        <is>
          <t>Draft</t>
        </is>
      </c>
      <c r="O27" s="4" t="inlineStr">
        <is>
          <t>Not required (CP4b)</t>
        </is>
      </c>
      <c r="P27" s="4" t="inlineStr"/>
      <c r="Q27" s="4" t="inlineStr"/>
      <c r="R27" s="4" t="inlineStr">
        <is>
          <t>Master_Architecture: LinkedIn series, Post 24</t>
        </is>
      </c>
    </row>
  </sheetData>
  <dataValidations count="1">
    <dataValidation sqref="N4:N27"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2026-10-09T05:59:33Z</dcterms:created>
  <dcterms:modified xmlns:dcterms="http://purl.org/dc/terms/" xmlns:xsi="http://www.w3.org/2001/XMLSchema-instance" xsi:type="dcterms:W3CDTF">2026-10-09T05:59:33Z</dcterms:modified>
</cp:coreProperties>
</file>