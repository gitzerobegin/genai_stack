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lendar" sheetId="1" state="visible" r:id="rId1"/>
  </sheets>
  <definedNames/>
  <calcPr calcId="124519" fullCalcOnLoad="1"/>
</workbook>
</file>

<file path=xl/styles.xml><?xml version="1.0" encoding="utf-8"?>
<styleSheet xmlns="http://schemas.openxmlformats.org/spreadsheetml/2006/main">
  <numFmts count="1">
    <numFmt numFmtId="164" formatCode="ddd dd mmm yyyy"/>
  </numFmts>
  <fonts count="3">
    <font>
      <name val="Calibri"/>
      <family val="2"/>
      <color theme="1"/>
      <sz val="11"/>
      <scheme val="minor"/>
    </font>
    <font>
      <b val="1"/>
    </font>
    <font>
      <b val="1"/>
      <color rgb="00FFFFFF"/>
    </font>
  </fonts>
  <fills count="4">
    <fill>
      <patternFill/>
    </fill>
    <fill>
      <patternFill patternType="gray125"/>
    </fill>
    <fill>
      <patternFill patternType="solid">
        <fgColor rgb="00FFF2CC"/>
      </patternFill>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2" borderId="0" pivotButton="0" quotePrefix="0" xfId="0"/>
    <xf numFmtId="0" fontId="2" fillId="3"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9" customWidth="1" min="3" max="3"/>
    <col width="15" customWidth="1" min="4" max="4"/>
    <col width="9" customWidth="1" min="5" max="5"/>
    <col width="28" customWidth="1" min="6" max="6"/>
    <col width="30" customWidth="1" min="7" max="7"/>
    <col width="40" customWidth="1" min="8" max="8"/>
    <col width="45" customWidth="1" min="9" max="9"/>
    <col width="7" customWidth="1" min="10" max="10"/>
    <col width="22" customWidth="1" min="11" max="11"/>
    <col width="45" customWidth="1" min="12" max="12"/>
    <col width="45" customWidth="1" min="13" max="13"/>
    <col width="11" customWidth="1" min="14" max="14"/>
    <col width="16" customWidth="1" min="15" max="15"/>
    <col width="25" customWidth="1" min="16" max="16"/>
    <col width="30" customWidth="1" min="17" max="17"/>
    <col width="30" customWidth="1" min="18" max="18"/>
  </cols>
  <sheetData>
    <row r="1">
      <c r="A1" s="1" t="inlineStr">
        <is>
          <t>Series start date (first Tuesday after CP5 sign-off):</t>
        </is>
      </c>
      <c r="E1" s="2" t="n"/>
      <c r="F1" t="inlineStr">
        <is>
          <t>← enter the start Tuesday (dates and times below compute from it; posting time about 08:00 UK)</t>
        </is>
      </c>
    </row>
    <row r="3">
      <c r="A3" s="3" t="inlineStr">
        <is>
          <t>#</t>
        </is>
      </c>
      <c r="B3" s="3" t="inlineStr">
        <is>
          <t>Week</t>
        </is>
      </c>
      <c r="C3" s="3" t="inlineStr">
        <is>
          <t>Day</t>
        </is>
      </c>
      <c r="D3" s="3" t="inlineStr">
        <is>
          <t>Date</t>
        </is>
      </c>
      <c r="E3" s="3" t="inlineStr">
        <is>
          <t>Time (UK)</t>
        </is>
      </c>
      <c r="F3" s="3" t="inlineStr">
        <is>
          <t>Theme</t>
        </is>
      </c>
      <c r="G3" s="3" t="inlineStr">
        <is>
          <t>Pair</t>
        </is>
      </c>
      <c r="H3" s="3" t="inlineStr">
        <is>
          <t>Tension</t>
        </is>
      </c>
      <c r="I3" s="3" t="inlineStr">
        <is>
          <t>Hook (first line)</t>
        </is>
      </c>
      <c r="J3" s="3" t="inlineStr">
        <is>
          <t>Words</t>
        </is>
      </c>
      <c r="K3" s="3" t="inlineStr">
        <is>
          <t>Hashtags</t>
        </is>
      </c>
      <c r="L3" s="3" t="inlineStr">
        <is>
          <t>Visual brief</t>
        </is>
      </c>
      <c r="M3" s="3" t="inlineStr">
        <is>
          <t>Re-verify before posting</t>
        </is>
      </c>
      <c r="N3" s="3" t="inlineStr">
        <is>
          <t>Status</t>
        </is>
      </c>
      <c r="O3" s="3" t="inlineStr">
        <is>
          <t>Cleared</t>
        </is>
      </c>
      <c r="P3" s="3" t="inlineStr">
        <is>
          <t>Published URL</t>
        </is>
      </c>
      <c r="Q3" s="3" t="inlineStr">
        <is>
          <t>Responses / notes</t>
        </is>
      </c>
      <c r="R3" s="3" t="inlineStr">
        <is>
          <t>Full post and visual</t>
        </is>
      </c>
    </row>
    <row r="4">
      <c r="A4" s="4" t="n">
        <v>0</v>
      </c>
      <c r="B4" s="4" t="n">
        <v>0</v>
      </c>
      <c r="C4" s="4" t="inlineStr">
        <is>
          <t>Thursday</t>
        </is>
      </c>
      <c r="D4" s="5">
        <f>IF($E$1="","",$E$1+-5)</f>
        <v/>
      </c>
      <c r="E4" s="4" t="inlineStr">
        <is>
          <t>08:00</t>
        </is>
      </c>
      <c r="F4" s="4" t="inlineStr">
        <is>
          <t>Series introduction: the enterprise GenAI stack, layer by layer</t>
        </is>
      </c>
      <c r="G4" s="4" t="inlineStr">
        <is>
          <t>Post 1 (L1, Week 1 Tuesday). **Bridge:** The series starts where every architecture starts: the models, and how not to bet the firm on one of them.</t>
        </is>
      </c>
      <c r="H4" s="4" t="inlineStr">
        <is>
          <t>The logos move faster than any diagram; the controls around them are what last.</t>
        </is>
      </c>
      <c r="I4" s="4" t="inlineStr">
        <is>
          <t>Over the next twelve weeks I am going to take the enterprise GenAI stack apart, one layer at a time.</t>
        </is>
      </c>
      <c r="J4" s="4" t="n">
        <v>232</v>
      </c>
      <c r="K4" s="4" t="inlineStr">
        <is>
          <t>#GenerativeAI #EnterpriseArchitecture</t>
        </is>
      </c>
      <c r="L4" s="4" t="inlineStr">
        <is>
          <t>Series map: the nine layers (L1 → L9) as a stack on the left, each paired by a connector with its Thursday control or theme on the right, labelled with week numbers 1–9. Weeks 10–12 (worked example, start small, build vs buy, where not to abstract, lock-in, close) as a strip beneath. A banner across the top: "the control plane around the products is the architecture". Footer: "24 posts · 12 weeks · one worked example". Source: the calendar above and synthesis Part I.</t>
        </is>
      </c>
      <c r="M4" s="4" t="inlineStr">
        <is>
          <t>- The counts (140 products, 1,255 sources, 39 of 80 tiles) against the final published edition - The start date of Post 1 (the first Tuesday after sign-off)</t>
        </is>
      </c>
      <c r="N4" s="4" t="inlineStr">
        <is>
          <t>Draft</t>
        </is>
      </c>
      <c r="O4" s="4" t="inlineStr">
        <is>
          <t>Not required (CP4b)</t>
        </is>
      </c>
      <c r="P4" s="4" t="inlineStr"/>
      <c r="Q4" s="4" t="inlineStr"/>
      <c r="R4" s="4" t="inlineStr">
        <is>
          <t>07_LinkedIn/LinkedIn_Series.docx, Post 0 · visual 08_Graphic/linkedin/P00.png</t>
        </is>
      </c>
    </row>
    <row r="5">
      <c r="A5" s="4" t="n">
        <v>1</v>
      </c>
      <c r="B5" s="4" t="n">
        <v>1</v>
      </c>
      <c r="C5" s="4" t="inlineStr">
        <is>
          <t>Tuesday</t>
        </is>
      </c>
      <c r="D5" s="5">
        <f>IF($E$1="","",$E$1+0)</f>
        <v/>
      </c>
      <c r="E5" s="4" t="inlineStr">
        <is>
          <t>08:00</t>
        </is>
      </c>
      <c r="F5" s="4" t="inlineStr">
        <is>
          <t>L1 Foundation models</t>
        </is>
      </c>
      <c r="G5" s="4" t="inlineStr">
        <is>
          <t>Post 2 (C6, Week 1 Thursday). **Bridge:** A portfolio of models needs a way to choose between them on cost without fooling yourself; Thursday supplies the metric.</t>
        </is>
      </c>
      <c r="H5" s="4" t="inlineStr">
        <is>
          <t>Treat models as a portfolio, not a bet.</t>
        </is>
      </c>
      <c r="I5" s="4" t="inlineStr">
        <is>
          <t>Treat foundation models as a portfolio, not a bet.</t>
        </is>
      </c>
      <c r="J5" s="4" t="n">
        <v>241</v>
      </c>
      <c r="K5" s="4" t="inlineStr">
        <is>
          <t>#FoundationModels #VendorRisk</t>
        </is>
      </c>
      <c r="L5" s="4" t="inlineStr">
        <is>
          <t>Portfolio grid: four roles (primary mid tier, fallback mid tier from a different vendor, small classifier, self-hosted open weight) as rows, with columns "pinned version", "region", "qualified on eval suite (date)", "retirement runway". All rows feed one gateway. A "frontier tier: off by default" tile sits above. Source: L1 §1.9 and §1.12 (shown without vendor names).</t>
        </is>
      </c>
      <c r="M5" s="4" t="inlineStr">
        <is>
          <t>- The Gemini Flash retirement date and the Claude Fable 5 suspension dates (both cited in the first comment) - Current model families and versions, which change monthly - CP4 tier decisions as published in the final document</t>
        </is>
      </c>
      <c r="N5" s="4" t="inlineStr">
        <is>
          <t>Draft</t>
        </is>
      </c>
      <c r="O5" s="4" t="inlineStr">
        <is>
          <t>Not required (CP4b)</t>
        </is>
      </c>
      <c r="P5" s="4" t="inlineStr"/>
      <c r="Q5" s="4" t="inlineStr"/>
      <c r="R5" s="4" t="inlineStr">
        <is>
          <t>07_LinkedIn/LinkedIn_Series.docx, Post 1 · visual 08_Graphic/linkedin/P01.png</t>
        </is>
      </c>
    </row>
    <row r="6">
      <c r="A6" s="4" t="n">
        <v>2</v>
      </c>
      <c r="B6" s="4" t="n">
        <v>1</v>
      </c>
      <c r="C6" s="4" t="inlineStr">
        <is>
          <t>Thursday</t>
        </is>
      </c>
      <c r="D6" s="5">
        <f>IF($E$1="","",$E$1+2)</f>
        <v/>
      </c>
      <c r="E6" s="4" t="inlineStr">
        <is>
          <t>08:00</t>
        </is>
      </c>
      <c r="F6" s="4" t="inlineStr">
        <is>
          <t>C6 AI FinOps</t>
        </is>
      </c>
      <c r="G6" s="4" t="inlineStr">
        <is>
          <t>Post 1 (L1, Week 1 Tuesday). **Bridge:** A model portfolio is only as good as the cost metric used to choose within it, and cost per token is the wrong one.</t>
        </is>
      </c>
      <c r="H6" s="4" t="inlineStr">
        <is>
          <t>Cost per task, not cost per token, is the metric executives understand.</t>
        </is>
      </c>
      <c r="I6" s="4" t="inlineStr">
        <is>
          <t>Cost per token is the number on the price list. Cost per task is the number executives understand, and the one that tells you whether a change saved anything.</t>
        </is>
      </c>
      <c r="J6" s="4" t="n">
        <v>262</v>
      </c>
      <c r="K6" s="4" t="inlineStr">
        <is>
          <t>#FinOps #UnitEconomics</t>
        </is>
      </c>
      <c r="L6" s="4" t="inlineStr">
        <is>
          <t>Side-by-side bars for one approved commentary (illustrative): "token cost" (small) versus "reviewer time" (large), with a third bar "regenerations" that multiplies the token cost. Beneath, the data flow: gateway meter (tags: use case, fund, run ID) → join to trace → monthly reconciliation to invoice → firm-owned cost dataset. Label clearly as illustrative. Source: C6 §C6.9 and §C6.12.</t>
        </is>
      </c>
      <c r="M6" s="4" t="inlineStr">
        <is>
          <t>- List prices used in the illustrative arithmetic (they change often; "well under a dollar" should still hold) - FOCUS 1.5 ratification status</t>
        </is>
      </c>
      <c r="N6" s="4" t="inlineStr">
        <is>
          <t>Draft</t>
        </is>
      </c>
      <c r="O6" s="4" t="inlineStr">
        <is>
          <t>Not required (CP4b)</t>
        </is>
      </c>
      <c r="P6" s="4" t="inlineStr"/>
      <c r="Q6" s="4" t="inlineStr"/>
      <c r="R6" s="4" t="inlineStr">
        <is>
          <t>07_LinkedIn/LinkedIn_Series.docx, Post 2 · visual 08_Graphic/linkedin/P02.png</t>
        </is>
      </c>
    </row>
    <row r="7">
      <c r="A7" s="4" t="n">
        <v>3</v>
      </c>
      <c r="B7" s="4" t="n">
        <v>2</v>
      </c>
      <c r="C7" s="4" t="inlineStr">
        <is>
          <t>Tuesday</t>
        </is>
      </c>
      <c r="D7" s="5">
        <f>IF($E$1="","",$E$1+7)</f>
        <v/>
      </c>
      <c r="E7" s="4" t="inlineStr">
        <is>
          <t>08:00</t>
        </is>
      </c>
      <c r="F7" s="4" t="inlineStr">
        <is>
          <t>L2 Inference, serving and model access</t>
        </is>
      </c>
      <c r="G7" s="4" t="inlineStr">
        <is>
          <t>Post 4 (C1, Week 2 Thursday). **Bridge:** Tuesday makes managed access the default; Thursday shows the gateway is what keeps that choice reversible.</t>
        </is>
      </c>
      <c r="H7" s="4" t="inlineStr">
        <is>
          <t>Self-hosting is a capacity and operating-model decision, not just a cost decision.</t>
        </is>
      </c>
      <c r="I7" s="4" t="inlineStr">
        <is>
          <t>Self-hosting a model is a capacity and operating-model decision. It is only partly a cost decision.</t>
        </is>
      </c>
      <c r="J7" s="4" t="n">
        <v>253</v>
      </c>
      <c r="K7" s="4" t="inlineStr">
        <is>
          <t>#LLMInference #MLOps</t>
        </is>
      </c>
      <c r="L7" s="4" t="inlineStr">
        <is>
          <t>L2 split into three stacked sub-layers (serving engines; optimisation, marked "only if you run GPU fleets"; model access), with the gateway lifted out into the control plane. Beside it, a month-end demand curve against a reserved-capacity line, showing headroom and an "overflow stays in region" arrow. Source: L2 §2.3, §2.9 step 3, §2.13 H1 view.</t>
        </is>
      </c>
      <c r="M7" s="4" t="inlineStr">
        <is>
          <t>- Overflow and residency behaviour statements for each hyperscaler - OpenRouter–Stripe closing; SGLang advisory status</t>
        </is>
      </c>
      <c r="N7" s="4" t="inlineStr">
        <is>
          <t>Draft</t>
        </is>
      </c>
      <c r="O7" s="4" t="inlineStr">
        <is>
          <t>Not required (CP4b)</t>
        </is>
      </c>
      <c r="P7" s="4" t="inlineStr"/>
      <c r="Q7" s="4" t="inlineStr"/>
      <c r="R7" s="4" t="inlineStr">
        <is>
          <t>07_LinkedIn/LinkedIn_Series.docx, Post 3 · visual 08_Graphic/linkedin/P03.png</t>
        </is>
      </c>
    </row>
    <row r="8">
      <c r="A8" s="4" t="n">
        <v>4</v>
      </c>
      <c r="B8" s="4" t="n">
        <v>2</v>
      </c>
      <c r="C8" s="4" t="inlineStr">
        <is>
          <t>Thursday</t>
        </is>
      </c>
      <c r="D8" s="5">
        <f>IF($E$1="","",$E$1+9)</f>
        <v/>
      </c>
      <c r="E8" s="4" t="inlineStr">
        <is>
          <t>08:00</t>
        </is>
      </c>
      <c r="F8" s="4" t="inlineStr">
        <is>
          <t>C1 AI / LLM gateway</t>
        </is>
      </c>
      <c r="G8" s="4" t="inlineStr">
        <is>
          <t>Post 3 (L2, Week 2 Tuesday). **Bridge:** Managed access is only a safe default if you can leave it; the gateway is what makes leaving a configuration change.</t>
        </is>
      </c>
      <c r="H8" s="4" t="inlineStr">
        <is>
          <t>The most boring component is the one that makes model switching, and exit plans, possible.</t>
        </is>
      </c>
      <c r="I8" s="4" t="inlineStr">
        <is>
          <t>The most boring component in the AI stack is the one that makes an exit plan real.</t>
        </is>
      </c>
      <c r="J8" s="4" t="n">
        <v>252</v>
      </c>
      <c r="K8" s="4" t="inlineStr">
        <is>
          <t>#AIGateway #OperationalResilience</t>
        </is>
      </c>
      <c r="L8" s="4" t="inlineStr">
        <is>
          <t>Hub diagram: applications on the left, one "AI traffic gateway" in the centre (routing, fallback, budgets, policy, log; C2, C3, C4 and C6 plugged in), providers on the right, with a dashed "pre-qualified alternative" route and a stopwatch labelled "time to switch: hours". Below: "two independent deployments, fail closed". Source: C1 §C1.3, §C1.9, §C1.13 H1 view.</t>
        </is>
      </c>
      <c r="M8" s="4" t="inlineStr">
        <is>
          <t>- The PS7/26 / PS26/2 effective date (18 March 2027) - Ownership status of Portkey and OpenRouter - Azure APIM AI Gateway tier status</t>
        </is>
      </c>
      <c r="N8" s="4" t="inlineStr">
        <is>
          <t>Draft</t>
        </is>
      </c>
      <c r="O8" s="4" t="inlineStr">
        <is>
          <t>Not required (CP4b)</t>
        </is>
      </c>
      <c r="P8" s="4" t="inlineStr"/>
      <c r="Q8" s="4" t="inlineStr"/>
      <c r="R8" s="4" t="inlineStr">
        <is>
          <t>07_LinkedIn/LinkedIn_Series.docx, Post 4 · visual 08_Graphic/linkedin/P04.png</t>
        </is>
      </c>
    </row>
    <row r="9">
      <c r="A9" s="4" t="n">
        <v>5</v>
      </c>
      <c r="B9" s="4" t="n">
        <v>3</v>
      </c>
      <c r="C9" s="4" t="inlineStr">
        <is>
          <t>Tuesday</t>
        </is>
      </c>
      <c r="D9" s="5">
        <f>IF($E$1="","",$E$1+14)</f>
        <v/>
      </c>
      <c r="E9" s="4" t="inlineStr">
        <is>
          <t>08:00</t>
        </is>
      </c>
      <c r="F9" s="4" t="inlineStr">
        <is>
          <t>L3 Agent frameworks and orchestration</t>
        </is>
      </c>
      <c r="G9" s="4" t="inlineStr">
        <is>
          <t>Post 6 (C2, Week 3 Thursday). **Bridge:** Tuesday decides how much autonomy a process gets; Thursday explains why guardrails cannot make up for a wrong answer to that question.</t>
        </is>
      </c>
      <c r="H9" s="4" t="inlineStr">
        <is>
          <t>Most enterprise "agents" should be deterministic workflows with one judgement step.</t>
        </is>
      </c>
      <c r="I9" s="4" t="inlineStr">
        <is>
          <t>Most of the enterprise "agents" I would approve are not agents at all. They are deterministic workflows with one judgement step.</t>
        </is>
      </c>
      <c r="J9" s="4" t="n">
        <v>256</v>
      </c>
      <c r="K9" s="4" t="inlineStr">
        <is>
          <t>#AgenticAI #WorkflowAutomation</t>
        </is>
      </c>
      <c r="L9" s="4" t="inlineStr">
        <is>
          <t>The worked example's L3 graph as a flow: authorise → fetch attribution snapshot (read-only) → retrieve style and prior commentary → one LLM drafting step → evaluation gate → human approval interrupt → release service. Mark "autonomy budget = 1" on the drafting node and show the checkpoint store beneath the graph. Side panel: three stacked concerns (workflow orchestration, bounded agent steps, durable execution). Source: L3 §3.12 and §3.13.</t>
        </is>
      </c>
      <c r="M9" s="4" t="inlineStr">
        <is>
          <t>- Framework GA and version status; the Agent Builder shutdown date if posting near it - CP4-9 tier statements if any SDK reaches 1.0</t>
        </is>
      </c>
      <c r="N9" s="4" t="inlineStr">
        <is>
          <t>Draft</t>
        </is>
      </c>
      <c r="O9" s="4" t="inlineStr">
        <is>
          <t>Not required (CP4b)</t>
        </is>
      </c>
      <c r="P9" s="4" t="inlineStr"/>
      <c r="Q9" s="4" t="inlineStr"/>
      <c r="R9" s="4" t="inlineStr">
        <is>
          <t>07_LinkedIn/LinkedIn_Series.docx, Post 5 · visual 08_Graphic/linkedin/P05.png</t>
        </is>
      </c>
    </row>
    <row r="10">
      <c r="A10" s="4" t="n">
        <v>6</v>
      </c>
      <c r="B10" s="4" t="n">
        <v>3</v>
      </c>
      <c r="C10" s="4" t="inlineStr">
        <is>
          <t>Thursday</t>
        </is>
      </c>
      <c r="D10" s="5">
        <f>IF($E$1="","",$E$1+16)</f>
        <v/>
      </c>
      <c r="E10" s="4" t="inlineStr">
        <is>
          <t>08:00</t>
        </is>
      </c>
      <c r="F10" s="4" t="inlineStr">
        <is>
          <t>C2 Guardrails</t>
        </is>
      </c>
      <c r="G10" s="4" t="inlineStr">
        <is>
          <t>Post 5 (L3, Week 3 Tuesday). **Bridge:** Tuesday's deterministic design does most of the safety work; guardrails are the second line, not a licence for more autonomy.</t>
        </is>
      </c>
      <c r="H10" s="4" t="inlineStr">
        <is>
          <t>Guardrails cannot fix a workflow that should never have been autonomous.</t>
        </is>
      </c>
      <c r="I10" s="4" t="inlineStr">
        <is>
          <t>Guardrails cannot fix a workflow that should never have been autonomous.</t>
        </is>
      </c>
      <c r="J10" s="4" t="n">
        <v>257</v>
      </c>
      <c r="K10" s="4" t="inlineStr">
        <is>
          <t>#AIGuardrails #ResponsibleAI</t>
        </is>
      </c>
      <c r="L10" s="4" t="inlineStr">
        <is>
          <t>A three-tier pyramid: deterministic rules (base, widest), small classifiers (middle), model-based judges (narrow top), with "fail closed" running down the side. Beside it, "Step 0: decide autonomy first (L3)" as a gate in front of the pyramid. Inset: the worked example's inline numeric-grounding guard. Source: C2 §C2.9 and §C2.12.</t>
        </is>
      </c>
      <c r="M10" s="4" t="inlineStr">
        <is>
          <t>- NeMo Guardrails version; any new Meta guardrail releases - Preview or GA status of Azure Task Adherence</t>
        </is>
      </c>
      <c r="N10" s="4" t="inlineStr">
        <is>
          <t>Draft</t>
        </is>
      </c>
      <c r="O10" s="4" t="inlineStr">
        <is>
          <t>Not required (CP4b)</t>
        </is>
      </c>
      <c r="P10" s="4" t="inlineStr"/>
      <c r="Q10" s="4" t="inlineStr"/>
      <c r="R10" s="4" t="inlineStr">
        <is>
          <t>07_LinkedIn/LinkedIn_Series.docx, Post 6 · visual 08_Graphic/linkedin/P06.png</t>
        </is>
      </c>
    </row>
    <row r="11">
      <c r="A11" s="4" t="n">
        <v>7</v>
      </c>
      <c r="B11" s="4" t="n">
        <v>4</v>
      </c>
      <c r="C11" s="4" t="inlineStr">
        <is>
          <t>Tuesday</t>
        </is>
      </c>
      <c r="D11" s="5">
        <f>IF($E$1="","",$E$1+21)</f>
        <v/>
      </c>
      <c r="E11" s="4" t="inlineStr">
        <is>
          <t>08:00</t>
        </is>
      </c>
      <c r="F11" s="4" t="inlineStr">
        <is>
          <t>L4 Tools, protocols and agent connectivity</t>
        </is>
      </c>
      <c r="G11" s="4" t="inlineStr">
        <is>
          <t>Post 8 (C4, Week 4 Thursday). **Bridge:** Tuesday puts a gateway in front of every tool; Thursday decides who is allowed through it, and on whose behalf.</t>
        </is>
      </c>
      <c r="H11" s="4" t="inlineStr">
        <is>
          <t>Open tool protocols made connecting tools easy, and that is exactly why tool governance now matters.</t>
        </is>
      </c>
      <c r="I11" s="4" t="inlineStr">
        <is>
          <t>Open tool protocols have made it easy to connect an agent to almost anything. That is exactly why tool governance now matters.</t>
        </is>
      </c>
      <c r="J11" s="4" t="n">
        <v>242</v>
      </c>
      <c r="K11" s="4" t="inlineStr">
        <is>
          <t>#AgenticAI #APISecurity</t>
        </is>
      </c>
      <c r="L11" s="4" t="inlineStr">
        <is>
          <t>Layer diagram: agent workflow (L3) → tool-governance sub-layer (gateway, private registry, hash-pinned definitions, policy decision, audit) → tools. Tools are colour-coded read-only (green) versus write (amber, "separate approval"). Callout: "45 servers · 20 models · 36.5% average attack success" with the source. Source: L4 §4.2, §4.9 step 0, §4.13 H3 view.</t>
        </is>
      </c>
      <c r="M11" s="4" t="inlineStr">
        <is>
          <t>- Whether a newer MCP specification makes authorisation mandatory - AAIF governance status of MCP and A2A - MCPTox figures (cite the paper directly if challenged)</t>
        </is>
      </c>
      <c r="N11" s="4" t="inlineStr">
        <is>
          <t>Draft</t>
        </is>
      </c>
      <c r="O11" s="4" t="inlineStr">
        <is>
          <t>Not required (CP4b)</t>
        </is>
      </c>
      <c r="P11" s="4" t="inlineStr"/>
      <c r="Q11" s="4" t="inlineStr"/>
      <c r="R11" s="4" t="inlineStr">
        <is>
          <t>07_LinkedIn/LinkedIn_Series.docx, Post 7 · visual 08_Graphic/linkedin/P07.png</t>
        </is>
      </c>
    </row>
    <row r="12">
      <c r="A12" s="4" t="n">
        <v>8</v>
      </c>
      <c r="B12" s="4" t="n">
        <v>4</v>
      </c>
      <c r="C12" s="4" t="inlineStr">
        <is>
          <t>Thursday</t>
        </is>
      </c>
      <c r="D12" s="5">
        <f>IF($E$1="","",$E$1+23)</f>
        <v/>
      </c>
      <c r="E12" s="4" t="inlineStr">
        <is>
          <t>08:00</t>
        </is>
      </c>
      <c r="F12" s="4" t="inlineStr">
        <is>
          <t>C4 Identity and access for agents</t>
        </is>
      </c>
      <c r="G12" s="4" t="inlineStr">
        <is>
          <t>Post 7 (L4, Week 4 Tuesday). **Bridge:** Once every tool sits behind a gateway, the question is who the agent is, and whose authority it carries.</t>
        </is>
      </c>
      <c r="H12" s="4" t="inlineStr">
        <is>
          <t>"Who did this?" needs an answer when the actor is an agent.</t>
        </is>
      </c>
      <c r="I12" s="4" t="inlineStr">
        <is>
          <t>"Who did this?" is the first question in every incident review. When the actor is an agent, many logs can answer only with the name of a shared service account.</t>
        </is>
      </c>
      <c r="J12" s="4" t="n">
        <v>254</v>
      </c>
      <c r="K12" s="4" t="inlineStr">
        <is>
          <t>#IAM #AgenticAI</t>
        </is>
      </c>
      <c r="L12" s="4" t="inlineStr">
        <is>
          <t>"One attribution chain" graphic: analyst signs in → token exchange (on behalf of analyst, read-only scope, minutes TTL) → agent identity (sponsor named) → gateway policy decision → tool → audit event (user · agent · tool · args hash · decision · trace ID) → evidence pack. A separate lane shows the approver (different person, step-up authentication). Source: C4 §C4.12.</t>
        </is>
      </c>
      <c r="M12" s="4" t="inlineStr">
        <is>
          <t>- Product names and GA status for Entra Agent ID and Okta Agent SSO - Whether any UK or EU rule now names accountability for AI agents</t>
        </is>
      </c>
      <c r="N12" s="4" t="inlineStr">
        <is>
          <t>Draft</t>
        </is>
      </c>
      <c r="O12" s="4" t="inlineStr">
        <is>
          <t>Not required (CP4b)</t>
        </is>
      </c>
      <c r="P12" s="4" t="inlineStr"/>
      <c r="Q12" s="4" t="inlineStr"/>
      <c r="R12" s="4" t="inlineStr">
        <is>
          <t>07_LinkedIn/LinkedIn_Series.docx, Post 8 · visual 08_Graphic/linkedin/P08.png</t>
        </is>
      </c>
    </row>
    <row r="13">
      <c r="A13" s="4" t="n">
        <v>9</v>
      </c>
      <c r="B13" s="4" t="n">
        <v>5</v>
      </c>
      <c r="C13" s="4" t="inlineStr">
        <is>
          <t>Tuesday</t>
        </is>
      </c>
      <c r="D13" s="5">
        <f>IF($E$1="","",$E$1+28)</f>
        <v/>
      </c>
      <c r="E13" s="4" t="inlineStr">
        <is>
          <t>08:00</t>
        </is>
      </c>
      <c r="F13" s="4" t="inlineStr">
        <is>
          <t>L5 Memory</t>
        </is>
      </c>
      <c r="G13" s="4" t="inlineStr">
        <is>
          <t>Post 10 (Regulated reality, Week 5 Thursday). **Bridge:** Memory is where governance gets personal (erasure, retention, reproducibility); Thursday steps back to the regulations that frame all of it.</t>
        </is>
      </c>
      <c r="H13" s="4" t="inlineStr">
        <is>
          <t>What an agent remembers is a governance question before it is a technical one, which is why memory comes last.</t>
        </is>
      </c>
      <c r="I13" s="4" t="inlineStr">
        <is>
          <t>Memory is the layer I would build last, on purpose. What an agent remembers is a governance question before it is a technical one, and it is the layer I would build last.</t>
        </is>
      </c>
      <c r="J13" s="4" t="n">
        <v>267</v>
      </c>
      <c r="K13" s="4" t="inlineStr">
        <is>
          <t>#AgentMemory #DataProtection</t>
        </is>
      </c>
      <c r="L13" s="4" t="inlineStr">
        <is>
          <t>The build-order roadmap (plan §12.6) as a horizontal timeline: governance → evaluation and observability → model access (gateway first) → retrieval → workflows → tools → **memory** (highlighted) → optimisation. Inset: a memory write path with a policy gate (DLP screen, allow-list, approval), a subject index and a "forget-by-subject" arrow reaching store, vectors, revisions and backups. Source: L5 §5.9 and §5.12.</t>
        </is>
      </c>
      <c r="M13" s="4" t="inlineStr">
        <is>
          <t>- ICO guidance (under review following the Data (Use and Access) Act) - Memory product defaults (TTL and pruning) and LangMem release status</t>
        </is>
      </c>
      <c r="N13" s="4" t="inlineStr">
        <is>
          <t>Draft</t>
        </is>
      </c>
      <c r="O13" s="4" t="inlineStr">
        <is>
          <t>Not required (CP4b)</t>
        </is>
      </c>
      <c r="P13" s="4" t="inlineStr"/>
      <c r="Q13" s="4" t="inlineStr"/>
      <c r="R13" s="4" t="inlineStr">
        <is>
          <t>07_LinkedIn/LinkedIn_Series.docx, Post 9 · visual 08_Graphic/linkedin/P09.png</t>
        </is>
      </c>
    </row>
    <row r="14">
      <c r="A14" s="4" t="n">
        <v>10</v>
      </c>
      <c r="B14" s="4" t="n">
        <v>5</v>
      </c>
      <c r="C14" s="4" t="inlineStr">
        <is>
          <t>Thursday</t>
        </is>
      </c>
      <c r="D14" s="5">
        <f>IF($E$1="","",$E$1+30)</f>
        <v/>
      </c>
      <c r="E14" s="4" t="inlineStr">
        <is>
          <t>08:00</t>
        </is>
      </c>
      <c r="F14" s="4" t="inlineStr">
        <is>
          <t>Regulated reality: EU AI Act and DORA</t>
        </is>
      </c>
      <c r="G14" s="4" t="inlineStr">
        <is>
          <t>Post 9 (L5, Week 5 Tuesday). **Bridge:** Halfway through the layers, the regulatory frame explains why multi-vendor design and retained evidence stop being optional.</t>
        </is>
      </c>
      <c r="H14" s="4" t="inlineStr">
        <is>
          <t>Concentration risk turns multi-vendor from a preference into a requirement.</t>
        </is>
      </c>
      <c r="I14" s="4" t="inlineStr">
        <is>
          <t>Concentration risk is turning multi-vendor AI from a preference into something close to a requirement.</t>
        </is>
      </c>
      <c r="J14" s="4" t="n">
        <v>267</v>
      </c>
      <c r="K14" s="4" t="inlineStr">
        <is>
          <t>#EUAIAct #DORA</t>
        </is>
      </c>
      <c r="L14" s="4" t="inlineStr">
        <is>
          <t>A timeline from April 2026 to December 2027: 17 Apr 2026 SR 26-2 (GenAI out of scope); 13 Jul 2026 UK CTP designations in force; 2 Aug 2026 GPAI enforcement and Article 50 transparency; 18 Mar 2027 UK material third-party notifications; 2 Dec 2027 EU AI Act Annex III. Beneath it, a two-column panel: "designated for direct oversight: hyperscalers and infrastructure" versus "not designated: model vendors (oversight rests on the firm)". Source: regulatory_facts.json and C8 §C8.11.</t>
        </is>
      </c>
      <c r="M14" s="4" t="inlineStr">
        <is>
          <t>- Any update to the DORA CTPP list or new UK CTP designations (especially any model vendor) - Whether the US agencies' AI request for information has been published - EU AI Act dates (any further Omnibus changes) and the PS7/26 effective date - "For most asset-management uses, today's live duties are literacy and transparency" is a judgement; keep it phrased as such</t>
        </is>
      </c>
      <c r="N14" s="4" t="inlineStr">
        <is>
          <t>Draft</t>
        </is>
      </c>
      <c r="O14" s="4" t="inlineStr">
        <is>
          <t>Not required (CP4b)</t>
        </is>
      </c>
      <c r="P14" s="4" t="inlineStr"/>
      <c r="Q14" s="4" t="inlineStr"/>
      <c r="R14" s="4" t="inlineStr">
        <is>
          <t>07_LinkedIn/LinkedIn_Series.docx, Post 10 · visual 08_Graphic/linkedin/P10.png</t>
        </is>
      </c>
    </row>
    <row r="15">
      <c r="A15" s="4" t="n">
        <v>11</v>
      </c>
      <c r="B15" s="4" t="n">
        <v>6</v>
      </c>
      <c r="C15" s="4" t="inlineStr">
        <is>
          <t>Tuesday</t>
        </is>
      </c>
      <c r="D15" s="5">
        <f>IF($E$1="","",$E$1+35)</f>
        <v/>
      </c>
      <c r="E15" s="4" t="inlineStr">
        <is>
          <t>08:00</t>
        </is>
      </c>
      <c r="F15" s="4" t="inlineStr">
        <is>
          <t>L6 Retrieval and knowledge stores</t>
        </is>
      </c>
      <c r="G15" s="4" t="inlineStr">
        <is>
          <t>Post 12 (C7, Week 6 Thursday). **Bridge:** Tuesday is about retrieving the right passages under real permissions; Thursday is about the passages someone else wrote for you.</t>
        </is>
      </c>
      <c r="H15" s="4" t="inlineStr">
        <is>
          <t>You may not need a vector database, but you do need retrieval you can measure.</t>
        </is>
      </c>
      <c r="I15" s="4" t="inlineStr">
        <is>
          <t>You may not need a vector database. You do need retrieval you can measure.</t>
        </is>
      </c>
      <c r="J15" s="4" t="n">
        <v>244</v>
      </c>
      <c r="K15" s="4" t="inlineStr">
        <is>
          <t>#VectorSearch #RAG</t>
        </is>
      </c>
      <c r="L15" s="4" t="inlineStr">
        <is>
          <t>Decision-tree graphic (L6 §6.9): Step 0 non-negotiables (filters inside the search, no unfiltered fallback, rebuild tested) → Step 1 "use what you run" (relational database, search engine, document database, object-store tier) → Step 2 three triggers → Step 3 dedicated engine. A side panel contrasts "filter after ranking + fallback = leakage" with "filter inside search + hard empty result".</t>
        </is>
      </c>
      <c r="M15" s="4" t="inlineStr">
        <is>
          <t>- pgvector version and any new CVEs - Pinecone Nexus and Weaviate licence status</t>
        </is>
      </c>
      <c r="N15" s="4" t="inlineStr">
        <is>
          <t>Draft</t>
        </is>
      </c>
      <c r="O15" s="4" t="inlineStr">
        <is>
          <t>Not required (CP4b)</t>
        </is>
      </c>
      <c r="P15" s="4" t="inlineStr"/>
      <c r="Q15" s="4" t="inlineStr"/>
      <c r="R15" s="4" t="inlineStr">
        <is>
          <t>07_LinkedIn/LinkedIn_Series.docx, Post 11 · visual 08_Graphic/linkedin/P11.png</t>
        </is>
      </c>
    </row>
    <row r="16">
      <c r="A16" s="4" t="n">
        <v>12</v>
      </c>
      <c r="B16" s="4" t="n">
        <v>6</v>
      </c>
      <c r="C16" s="4" t="inlineStr">
        <is>
          <t>Thursday</t>
        </is>
      </c>
      <c r="D16" s="5">
        <f>IF($E$1="","",$E$1+37)</f>
        <v/>
      </c>
      <c r="E16" s="4" t="inlineStr">
        <is>
          <t>08:00</t>
        </is>
      </c>
      <c r="F16" s="4" t="inlineStr">
        <is>
          <t>C7 AI security</t>
        </is>
      </c>
      <c r="G16" s="4" t="inlineStr">
        <is>
          <t>Post 11 (L6, Week 6 Tuesday). **Bridge:** Retrieval brings back passages; some were written by someone who wants your agent to act on them.</t>
        </is>
      </c>
      <c r="H16" s="4" t="inlineStr">
        <is>
          <t>Every retrieved document is untrusted input. Indirect prompt injection is a supply-chain problem.</t>
        </is>
      </c>
      <c r="I16" s="4" t="inlineStr">
        <is>
          <t>A language model follows instructions it finds in any text it reads. Give it tools, and those instructions become actions.</t>
        </is>
      </c>
      <c r="J16" s="4" t="n">
        <v>263</v>
      </c>
      <c r="K16" s="4" t="inlineStr">
        <is>
          <t>#AISecurity #PromptInjection</t>
        </is>
      </c>
      <c r="L16" s="4" t="inlineStr">
        <is>
          <t>Venn diagram with three circles: untrusted input, sensitive data, outbound channel. The centre is marked "never in one agent". Around it, a defence-in-depth ring for the worked example: deterministic workflow, numeric check, data marking, chunk screening, canary documents, human approval. Source: C7 §C7.9 step 0 and §C7.12.</t>
        </is>
      </c>
      <c r="M16" s="4" t="inlineStr">
        <is>
          <t>- Any new findings on the March 2026 package compromise (intrusion vector is reported two ways) - Acquisition statuses in the security list</t>
        </is>
      </c>
      <c r="N16" s="4" t="inlineStr">
        <is>
          <t>Draft</t>
        </is>
      </c>
      <c r="O16" s="4" t="inlineStr">
        <is>
          <t>Not required (CP4b)</t>
        </is>
      </c>
      <c r="P16" s="4" t="inlineStr"/>
      <c r="Q16" s="4" t="inlineStr"/>
      <c r="R16" s="4" t="inlineStr">
        <is>
          <t>07_LinkedIn/LinkedIn_Series.docx, Post 12 · visual 08_Graphic/linkedin/P12.png</t>
        </is>
      </c>
    </row>
    <row r="17">
      <c r="A17" s="4" t="n">
        <v>13</v>
      </c>
      <c r="B17" s="4" t="n">
        <v>7</v>
      </c>
      <c r="C17" s="4" t="inlineStr">
        <is>
          <t>Tuesday</t>
        </is>
      </c>
      <c r="D17" s="5">
        <f>IF($E$1="","",$E$1+42)</f>
        <v/>
      </c>
      <c r="E17" s="4" t="inlineStr">
        <is>
          <t>08:00</t>
        </is>
      </c>
      <c r="F17" s="4" t="inlineStr">
        <is>
          <t>L7 Embeddings and reranking</t>
        </is>
      </c>
      <c r="G17" s="4" t="inlineStr">
        <is>
          <t>Post 14 (C5, Week 7 Thursday). **Bridge:** Tuesday ends on "the embedding version is production configuration"; Thursday extends that to prompts and every other setting that changes outputs.</t>
        </is>
      </c>
      <c r="H17" s="4" t="inlineStr">
        <is>
          <t>Retrieval quality is a two-stage problem, and it is easy to tune only one stage.</t>
        </is>
      </c>
      <c r="I17" s="4" t="inlineStr">
        <is>
          <t>Retrieval quality is a two-stage problem, and it is easy to tune only one stage.</t>
        </is>
      </c>
      <c r="J17" s="4" t="n">
        <v>246</v>
      </c>
      <c r="K17" s="4" t="inlineStr">
        <is>
          <t>#InformationRetrieval #RAG</t>
        </is>
      </c>
      <c r="L17" s="4" t="inlineStr">
        <is>
          <t>Funnel diagram: "corpus → stage 1 (embed, k = 50–100, measure recall@k) → stage 2 (rerank, measure nDCG@10) → top passages to the model". Below it, a small "version tag" icon on each vector and a two-index migration strip (old index live, new index shadow, regression gate, cut-over). Source: L7 §7.3 and §7.9 step 6.</t>
        </is>
      </c>
      <c r="M17" s="4" t="inlineStr">
        <is>
          <t>- "Every vendor except OpenAI offers both" (check for a new OpenAI reranker) - Current model versions if any are named in replies</t>
        </is>
      </c>
      <c r="N17" s="4" t="inlineStr">
        <is>
          <t>Draft</t>
        </is>
      </c>
      <c r="O17" s="4" t="inlineStr">
        <is>
          <t>Not required (CP4b)</t>
        </is>
      </c>
      <c r="P17" s="4" t="inlineStr"/>
      <c r="Q17" s="4" t="inlineStr"/>
      <c r="R17" s="4" t="inlineStr">
        <is>
          <t>07_LinkedIn/LinkedIn_Series.docx, Post 13 · visual 08_Graphic/linkedin/P13.png</t>
        </is>
      </c>
    </row>
    <row r="18">
      <c r="A18" s="4" t="n">
        <v>14</v>
      </c>
      <c r="B18" s="4" t="n">
        <v>7</v>
      </c>
      <c r="C18" s="4" t="inlineStr">
        <is>
          <t>Thursday</t>
        </is>
      </c>
      <c r="D18" s="5">
        <f>IF($E$1="","",$E$1+44)</f>
        <v/>
      </c>
      <c r="E18" s="4" t="inlineStr">
        <is>
          <t>08:00</t>
        </is>
      </c>
      <c r="F18" s="4" t="inlineStr">
        <is>
          <t>C5 Prompt and configuration management</t>
        </is>
      </c>
      <c r="G18" s="4" t="inlineStr">
        <is>
          <t>Post 13 (L7, Week 7 Tuesday). **Bridge:** If the embedding version is production configuration, so is the prompt, and both need versioning, review and rollback.</t>
        </is>
      </c>
      <c r="H18" s="4" t="inlineStr">
        <is>
          <t>Embedding versions and prompts are both production configuration, so they need versioning, review and rollback.</t>
        </is>
      </c>
      <c r="I18" s="4" t="inlineStr">
        <is>
          <t>A one-sentence edit to a prompt can change outputs as much as a model upgrade. Few organisations would let a model upgrade ship without review. Many let prompts change in a web console.</t>
        </is>
      </c>
      <c r="J18" s="4" t="n">
        <v>251</v>
      </c>
      <c r="K18" s="4" t="inlineStr">
        <is>
          <t>#LLMOps #ChangeManagement</t>
        </is>
      </c>
      <c r="L18" s="4" t="inlineStr">
        <is>
          <t>A "release manifest" card for the worked example (illustrative values): prompt set version, drafting model pinned to a dated version, fallback model, embedding and reranker versions, top-k, read-only tool list, guardrail policy version, eval threshold set. Arrows show pull request → second approver → eval gate → tagged release → registry label → trace stamped with version. Source: C5 §C5.12.</t>
        </is>
      </c>
      <c r="M18" s="4" t="inlineStr">
        <is>
          <t>- LaunchDarkly product name (AgentControl) - Langfuse and Promptfoo ownership status</t>
        </is>
      </c>
      <c r="N18" s="4" t="inlineStr">
        <is>
          <t>Draft</t>
        </is>
      </c>
      <c r="O18" s="4" t="inlineStr">
        <is>
          <t>Not required (CP4b)</t>
        </is>
      </c>
      <c r="P18" s="4" t="inlineStr"/>
      <c r="Q18" s="4" t="inlineStr"/>
      <c r="R18" s="4" t="inlineStr">
        <is>
          <t>07_LinkedIn/LinkedIn_Series.docx, Post 14 · visual 08_Graphic/linkedin/P14.png</t>
        </is>
      </c>
    </row>
    <row r="19">
      <c r="A19" s="4" t="n">
        <v>15</v>
      </c>
      <c r="B19" s="4" t="n">
        <v>8</v>
      </c>
      <c r="C19" s="4" t="inlineStr">
        <is>
          <t>Tuesday</t>
        </is>
      </c>
      <c r="D19" s="5">
        <f>IF($E$1="","",$E$1+49)</f>
        <v/>
      </c>
      <c r="E19" s="4" t="inlineStr">
        <is>
          <t>08:00</t>
        </is>
      </c>
      <c r="F19" s="4" t="inlineStr">
        <is>
          <t>L8 Data extraction and ingestion</t>
        </is>
      </c>
      <c r="G19" s="4" t="inlineStr">
        <is>
          <t>Post 16 (C3, Week 8 Thursday). **Bridge:** Tuesday shows that quality is decided at ingestion; Thursday shows that residency and privacy are decided there too.</t>
        </is>
      </c>
      <c r="H19" s="4" t="inlineStr">
        <is>
          <t>Some of the most convincing "hallucinations" in enterprise retrieval start in a PDF table parser, not in the model.</t>
        </is>
      </c>
      <c r="I19" s="4" t="inlineStr">
        <is>
          <t>Some of the most convincing "hallucinations" in enterprise retrieval systems are not the model's fault. They start in a table parser.</t>
        </is>
      </c>
      <c r="J19" s="4" t="n">
        <v>236</v>
      </c>
      <c r="K19" s="4" t="inlineStr">
        <is>
          <t>#RAG #DataQuality</t>
        </is>
      </c>
      <c r="L19" s="4" t="inlineStr">
        <is>
          <t>Pipeline diagram: source register → acquisition → classification/DLP → parser (drawn as a swappable cartridge) → "metadata envelope" stamped on each chunk (source, version, ACL, classification, parser manifest, lineage ID) → index gate ("no envelope, no index"). A red side-path shows "parsed numbers = context only"; a green path shows "authoritative figures via read-only tool". Source: L8 §8.9 and the six-component control plane in §8.13.</t>
        </is>
      </c>
      <c r="M19" s="4" t="inlineStr">
        <is>
          <t>- "Ten products assessed; only one carries ACL metadata; none emits lineage" (check for new lineage features) - Mistral OCR and Docling version status if mentioned in replies</t>
        </is>
      </c>
      <c r="N19" s="4" t="inlineStr">
        <is>
          <t>Draft</t>
        </is>
      </c>
      <c r="O19" s="4" t="inlineStr">
        <is>
          <t>Not required (CP4b)</t>
        </is>
      </c>
      <c r="P19" s="4" t="inlineStr"/>
      <c r="Q19" s="4" t="inlineStr"/>
      <c r="R19" s="4" t="inlineStr">
        <is>
          <t>07_LinkedIn/LinkedIn_Series.docx, Post 15 · visual 08_Graphic/linkedin/P15.png</t>
        </is>
      </c>
    </row>
    <row r="20">
      <c r="A20" s="4" t="n">
        <v>16</v>
      </c>
      <c r="B20" s="4" t="n">
        <v>8</v>
      </c>
      <c r="C20" s="4" t="inlineStr">
        <is>
          <t>Thursday</t>
        </is>
      </c>
      <c r="D20" s="5">
        <f>IF($E$1="","",$E$1+51)</f>
        <v/>
      </c>
      <c r="E20" s="4" t="inlineStr">
        <is>
          <t>08:00</t>
        </is>
      </c>
      <c r="F20" s="4" t="inlineStr">
        <is>
          <t>C3 DLP and PII protection</t>
        </is>
      </c>
      <c r="G20" s="4" t="inlineStr">
        <is>
          <t>Post 15 (L8, Week 8 Tuesday). **Bridge:** If quality is decided at ingestion, so are residency and privacy; a filter at the prompt arrives too late.</t>
        </is>
      </c>
      <c r="H20" s="4" t="inlineStr">
        <is>
          <t>Data residency and PII decisions are made at ingestion, not at the prompt.</t>
        </is>
      </c>
      <c r="I20" s="4" t="inlineStr">
        <is>
          <t>One analyst question can place the same client identifier in seven places: a prompt, a retrieved chunk, a tool result, a provider's processing region, a trace store, an evaluation dataset and a memory record.</t>
        </is>
      </c>
      <c r="J20" s="4" t="n">
        <v>251</v>
      </c>
      <c r="K20" s="4" t="inlineStr">
        <is>
          <t>#DataProtection #PrivacyEngineering</t>
        </is>
      </c>
      <c r="L20" s="4" t="inlineStr">
        <is>
          <t>"Seven copies" diagram: one client identifier at the centre with arrows to seven stores (prompt, chunk, tool result, provider region, trace store, eval set, memory). Overlay six numbered enforcement points (E1 ingestion to E6 trace export) all calling one "privacy service" box. Inset: a draft showing CLIENT_A / MANDATE_1 placeholders instead of names. Source: C3 §C3.2, §C3.9 step 0, §C3.12.</t>
        </is>
      </c>
      <c r="M20" s="4" t="inlineStr">
        <is>
          <t>- Status of the DPF appeal C-703/25 P - Presidio governance and licence - Purview DSPM licensing statement</t>
        </is>
      </c>
      <c r="N20" s="4" t="inlineStr">
        <is>
          <t>Draft</t>
        </is>
      </c>
      <c r="O20" s="4" t="inlineStr">
        <is>
          <t>Not required (CP4b)</t>
        </is>
      </c>
      <c r="P20" s="4" t="inlineStr"/>
      <c r="Q20" s="4" t="inlineStr"/>
      <c r="R20" s="4" t="inlineStr">
        <is>
          <t>07_LinkedIn/LinkedIn_Series.docx, Post 16 · visual 08_Graphic/linkedin/P16.png</t>
        </is>
      </c>
    </row>
    <row r="21">
      <c r="A21" s="4" t="n">
        <v>17</v>
      </c>
      <c r="B21" s="4" t="n">
        <v>9</v>
      </c>
      <c r="C21" s="4" t="inlineStr">
        <is>
          <t>Tuesday</t>
        </is>
      </c>
      <c r="D21" s="5">
        <f>IF($E$1="","",$E$1+56)</f>
        <v/>
      </c>
      <c r="E21" s="4" t="inlineStr">
        <is>
          <t>08:00</t>
        </is>
      </c>
      <c r="F21" s="4" t="inlineStr">
        <is>
          <t>L9 Evaluation and observability</t>
        </is>
      </c>
      <c r="G21" s="4" t="inlineStr">
        <is>
          <t>Post 18 (C8, Week 9 Thursday). **Bridge:** Tuesday argues that evaluation must exist from day one; Thursday shows that the same eval suite, run independently and kept, is the validation evidence a model-risk function needs.</t>
        </is>
      </c>
      <c r="H21" s="4" t="inlineStr">
        <is>
          <t>The layer that ages slowest is the one most teams build last, and evals added after go-live measure the damage, not the quality.</t>
        </is>
      </c>
      <c r="I21" s="4" t="inlineStr">
        <is>
          <t>Most diagrams of the AI stack put evaluation in the last box. It is the layer that ages slowest — and the one most teams build last.</t>
        </is>
      </c>
      <c r="J21" s="4" t="n">
        <v>261</v>
      </c>
      <c r="K21" s="4" t="inlineStr">
        <is>
          <t>#AIEvaluation #LLMOps</t>
        </is>
      </c>
      <c r="L21" s="4" t="inlineStr">
        <is>
          <t>Two-panel diagram. Left: the popular nine-layer stack diagram with "Evals and observability" as the last box. Right: the same stack with evaluation and observability redrawn as a vertical plane running alongside every layer, labelled "firm-owned telemetry and evidence spine", with products drawn as replaceable plug-ins. A small callout shows the one metric: "Numeric faithfulness: 100%, any miss blocks." Source: L9 §9.13 and the H8 provisional view.</t>
        </is>
      </c>
      <c r="M21" s="4" t="inlineStr">
        <is>
          <t>- Arize/Dynatrace completion and the Langfuse/ClickHouse status - Whether OpenAI's Promptfoo acquisition has closed - OpenTelemetry GenAI conventions still at "Development" - The "five of the eleven" count, against the final L9 table</t>
        </is>
      </c>
      <c r="N21" s="4" t="inlineStr">
        <is>
          <t>Draft</t>
        </is>
      </c>
      <c r="O21" s="4" t="inlineStr">
        <is>
          <t>Not required (CP4b)</t>
        </is>
      </c>
      <c r="P21" s="4" t="inlineStr"/>
      <c r="Q21" s="4" t="inlineStr"/>
      <c r="R21" s="4" t="inlineStr">
        <is>
          <t>07_LinkedIn/LinkedIn_Series.docx, Post 17 · visual 08_Graphic/linkedin/P17.png</t>
        </is>
      </c>
    </row>
    <row r="22">
      <c r="A22" s="4" t="n">
        <v>18</v>
      </c>
      <c r="B22" s="4" t="n">
        <v>9</v>
      </c>
      <c r="C22" s="4" t="inlineStr">
        <is>
          <t>Thursday</t>
        </is>
      </c>
      <c r="D22" s="5">
        <f>IF($E$1="","",$E$1+58)</f>
        <v/>
      </c>
      <c r="E22" s="4" t="inlineStr">
        <is>
          <t>08:00</t>
        </is>
      </c>
      <c r="F22" s="4" t="inlineStr">
        <is>
          <t>C8 Model risk, governance and audit</t>
        </is>
      </c>
      <c r="G22" s="4" t="inlineStr">
        <is>
          <t>Post 17 (L9, Week 9 Tuesday). **Bridge:** Tuesday's eval suite becomes Thursday's validation evidence, but only if someone independent challenges it, it is versioned, and it is retained.</t>
        </is>
      </c>
      <c r="H22" s="4" t="inlineStr">
        <is>
          <t>Your eval suite *is* your validation evidence. What model-risk discipline means when the "model" is an agent and the main US guidance has stepped aside.</t>
        </is>
      </c>
      <c r="I22" s="4" t="inlineStr">
        <is>
          <t>In April, the US supervisory guidance that had shaped model risk management since 2011 was replaced. Its successor, SR 26-2, places generative and agentic AI expressly outside its scope.</t>
        </is>
      </c>
      <c r="J22" s="4" t="n">
        <v>253</v>
      </c>
      <c r="K22" s="4" t="inlineStr">
        <is>
          <t>#ModelRisk #AIGovernance</t>
        </is>
      </c>
      <c r="L22" s="4" t="inlineStr">
        <is>
          <t>One-page "evidence pack" graphic for the worked example: eight tiles (prompt version, model version, data snapshot, tool calls, eval results, approver identity, timestamps, final output), all keyed to one trace ID and feeding an immutable archive. A side panel shows "governed unit = use case" with the model as a vendor component. Source: C8 §C8.12.</t>
        </is>
      </c>
      <c r="M22" s="4" t="inlineStr">
        <is>
          <t>- SR 26-2 status, and whether the agencies' AI/GenAI request for information has been published (update the post if it has) - SS1/23 scope statements - Collibra–trail ML completion</t>
        </is>
      </c>
      <c r="N22" s="4" t="inlineStr">
        <is>
          <t>Draft</t>
        </is>
      </c>
      <c r="O22" s="4" t="inlineStr">
        <is>
          <t>Not required (CP4b)</t>
        </is>
      </c>
      <c r="P22" s="4" t="inlineStr"/>
      <c r="Q22" s="4" t="inlineStr"/>
      <c r="R22" s="4" t="inlineStr">
        <is>
          <t>07_LinkedIn/LinkedIn_Series.docx, Post 18 · visual 08_Graphic/linkedin/P18.png</t>
        </is>
      </c>
    </row>
    <row r="23">
      <c r="A23" s="4" t="n">
        <v>19</v>
      </c>
      <c r="B23" s="4" t="n">
        <v>10</v>
      </c>
      <c r="C23" s="4" t="inlineStr">
        <is>
          <t>Tuesday</t>
        </is>
      </c>
      <c r="D23" s="5">
        <f>IF($E$1="","",$E$1+63)</f>
        <v/>
      </c>
      <c r="E23" s="4" t="inlineStr">
        <is>
          <t>08:00</t>
        </is>
      </c>
      <c r="F23" s="4" t="inlineStr">
        <is>
          <t>The worked example, end to end</t>
        </is>
      </c>
      <c r="G23" s="4" t="inlineStr">
        <is>
          <t>Post 20 (Start small, Week 10 Thursday). **Bridge:** Tuesday shows the full worked example and its "never" list; Thursday shows the minimum platform needed to run it, and what to leave out.</t>
        </is>
      </c>
      <c r="H23" s="4" t="inlineStr">
        <is>
          <t>What the attribution-commentary agent must never do matters more than what it can do.</t>
        </is>
      </c>
      <c r="I23" s="4" t="inlineStr">
        <is>
          <t>For nine weeks one example has run underneath this series: an agent that drafts the monthly performance-attribution commentary for a multi-asset fund, with a portfolio manager approving every draft. It is generic and illustrative. Here it is in one place.</t>
        </is>
      </c>
      <c r="J23" s="4" t="n">
        <v>265</v>
      </c>
      <c r="K23" s="4" t="inlineStr">
        <is>
          <t>#AgenticAI #AIGovernance</t>
        </is>
      </c>
      <c r="L23" s="4" t="inlineStr">
        <is>
          <t>Two-column "may / must never" table for the worked example. Each "never" row has its enforcing component in a coloured chip (read-only tool, numeric comparator, approval interrupt, allow-list, tokenisation, entitlement filter, version pin). Beneath it, the eight-tile evidence pack keyed to one trace ID. Source: synthesis VI.3 and VI.4. Label: "generic, illustrative".</t>
        </is>
      </c>
      <c r="M23" s="4" t="inlineStr">
        <is>
          <t>- No product or regulatory facts in the body. Check that the first comment's per-cloud examples match the final document.</t>
        </is>
      </c>
      <c r="N23" s="4" t="inlineStr">
        <is>
          <t>Draft</t>
        </is>
      </c>
      <c r="O23" s="4" t="inlineStr">
        <is>
          <t>Not required (CP4b)</t>
        </is>
      </c>
      <c r="P23" s="4" t="inlineStr"/>
      <c r="Q23" s="4" t="inlineStr"/>
      <c r="R23" s="4" t="inlineStr">
        <is>
          <t>07_LinkedIn/LinkedIn_Series.docx, Post 19 · visual 08_Graphic/linkedin/P19.png</t>
        </is>
      </c>
    </row>
    <row r="24">
      <c r="A24" s="4" t="n">
        <v>20</v>
      </c>
      <c r="B24" s="4" t="n">
        <v>10</v>
      </c>
      <c r="C24" s="4" t="inlineStr">
        <is>
          <t>Thursday</t>
        </is>
      </c>
      <c r="D24" s="5">
        <f>IF($E$1="","",$E$1+65)</f>
        <v/>
      </c>
      <c r="E24" s="4" t="inlineStr">
        <is>
          <t>08:00</t>
        </is>
      </c>
      <c r="F24" s="4" t="inlineStr">
        <is>
          <t>Start small</t>
        </is>
      </c>
      <c r="G24" s="4" t="inlineStr">
        <is>
          <t>Post 19 (Worked example, Week 10 Tuesday). **Bridge:** Tuesday's agent needs a platform; Thursday argues that the minimum platform, plus a published "not yet" list, is the right first release.</t>
        </is>
      </c>
      <c r="H24" s="4" t="inlineStr">
        <is>
          <t>The most valuable part of a reference architecture is the "do not build yet" list.</t>
        </is>
      </c>
      <c r="I24" s="4" t="inlineStr">
        <is>
          <t>The most valuable page in a reference architecture is often the "do not build yet" list.</t>
        </is>
      </c>
      <c r="J24" s="4" t="n">
        <v>264</v>
      </c>
      <c r="K24" s="4" t="inlineStr">
        <is>
          <t>#EnterpriseArchitecture #AgenticAI</t>
        </is>
      </c>
      <c r="L24" s="4" t="inlineStr">
        <is>
          <t>Two panels. Left, "Build now": the Stack D minimum as a compact stack (gateway ×2, identity, manifest, checks, eval suite, one store, one workflow, two models). Right, "Do NOT build yet": the not-yet items as greyed-out tiles, each with a one-word trigger for revisiting it ("evidence", "load test", "use case"). Source: synthesis Part VII, Stack D.</t>
        </is>
      </c>
      <c r="M24" s="4" t="inlineStr">
        <is>
          <t>- The not-yet list against the final Part VII and the Part XI tiers (anything promoted from Experimental)</t>
        </is>
      </c>
      <c r="N24" s="4" t="inlineStr">
        <is>
          <t>Draft</t>
        </is>
      </c>
      <c r="O24" s="4" t="inlineStr">
        <is>
          <t>Not required (CP4b)</t>
        </is>
      </c>
      <c r="P24" s="4" t="inlineStr"/>
      <c r="Q24" s="4" t="inlineStr"/>
      <c r="R24" s="4" t="inlineStr">
        <is>
          <t>07_LinkedIn/LinkedIn_Series.docx, Post 20 · visual 08_Graphic/linkedin/P20.png</t>
        </is>
      </c>
    </row>
    <row r="25">
      <c r="A25" s="4" t="n">
        <v>21</v>
      </c>
      <c r="B25" s="4" t="n">
        <v>11</v>
      </c>
      <c r="C25" s="4" t="inlineStr">
        <is>
          <t>Tuesday</t>
        </is>
      </c>
      <c r="D25" s="5">
        <f>IF($E$1="","",$E$1+70)</f>
        <v/>
      </c>
      <c r="E25" s="4" t="inlineStr">
        <is>
          <t>08:00</t>
        </is>
      </c>
      <c r="F25" s="4" t="inlineStr">
        <is>
          <t>Build vs buy</t>
        </is>
      </c>
      <c r="G25" s="4" t="inlineStr">
        <is>
          <t>Post 22 (Where not to abstract, Week 11 Thursday). **Bridge:** Tuesday says to own a thin interface in front of what you buy; Thursday warns against owning too many interfaces.</t>
        </is>
      </c>
      <c r="H25" s="4" t="inlineStr">
        <is>
          <t>Build where you differentiate, buy where you would only be maintaining.</t>
        </is>
      </c>
      <c r="I25" s="4" t="inlineStr">
        <is>
          <t>Build where you differentiate. Buy where you would only be maintaining.</t>
        </is>
      </c>
      <c r="J25" s="4" t="n">
        <v>257</v>
      </c>
      <c r="K25" s="4" t="inlineStr">
        <is>
          <t>#EnterpriseArchitecture #BuildVsBuy</t>
        </is>
      </c>
      <c r="L25" s="4" t="inlineStr">
        <is>
          <t>Three-column board, "Build · Hybrid · Buy", with the 17 layers and controls placed as cards (for example, Build: tool servers, configuration of record, evidence store; Hybrid: gateway, guardrails, privacy, evaluation, retrieval optimisation; Buy: security tooling, foundation models, serving access). A separate red card reads "Do not build yet: fine-tuning". Source: synthesis Part VIII table.</t>
        </is>
      </c>
      <c r="M25" s="4" t="inlineStr">
        <is>
          <t>- No dated facts in the body. Check the Article 25 wording if challenged ("can, in some cases").</t>
        </is>
      </c>
      <c r="N25" s="4" t="inlineStr">
        <is>
          <t>Draft</t>
        </is>
      </c>
      <c r="O25" s="4" t="inlineStr">
        <is>
          <t>Not required (CP4b)</t>
        </is>
      </c>
      <c r="P25" s="4" t="inlineStr"/>
      <c r="Q25" s="4" t="inlineStr"/>
      <c r="R25" s="4" t="inlineStr">
        <is>
          <t>07_LinkedIn/LinkedIn_Series.docx, Post 21 · visual 08_Graphic/linkedin/P21.png</t>
        </is>
      </c>
    </row>
    <row r="26">
      <c r="A26" s="4" t="n">
        <v>22</v>
      </c>
      <c r="B26" s="4" t="n">
        <v>11</v>
      </c>
      <c r="C26" s="4" t="inlineStr">
        <is>
          <t>Thursday</t>
        </is>
      </c>
      <c r="D26" s="5">
        <f>IF($E$1="","",$E$1+72)</f>
        <v/>
      </c>
      <c r="E26" s="4" t="inlineStr">
        <is>
          <t>08:00</t>
        </is>
      </c>
      <c r="F26" s="4" t="inlineStr">
        <is>
          <t>Where not to abstract</t>
        </is>
      </c>
      <c r="G26" s="4" t="inlineStr">
        <is>
          <t>Post 21 (Build vs buy, Week 11 Tuesday). **Bridge:** Tuesday's thin firm-owned interfaces are the right default; Thursday names where adding one is the mistake.</t>
        </is>
      </c>
      <c r="H26" s="4" t="inlineStr">
        <is>
          <t>Frameworks on top of frameworks.</t>
        </is>
      </c>
      <c r="I26" s="4" t="inlineStr">
        <is>
          <t>Abstraction is how an architecture stays reversible. Too much of it is how an architecture stops moving.</t>
        </is>
      </c>
      <c r="J26" s="4" t="n">
        <v>253</v>
      </c>
      <c r="K26" s="4" t="inlineStr">
        <is>
          <t>#SoftwareArchitecture #AgenticAI</t>
        </is>
      </c>
      <c r="L26" s="4" t="inlineStr">
        <is>
          <t>Two lists side by side. "Abstract (thin, firm-owned)": routing contract, telemetry collector, datasets, credentials, policy, retrieval interface, embed/rerank, privacy API, memory API, config fetch. "Do not over-abstract": agent frameworks, single-workflow plug-ins, plain database access, store-bundled features, vendor model extras. A small strip beneath shows "multi-vendor necessary" versus "multi-vendor only adds complexity". Source: synthesis IX.1–IX.3.</t>
        </is>
      </c>
      <c r="M26" s="4" t="inlineStr">
        <is>
          <t>- No dated facts in the body.</t>
        </is>
      </c>
      <c r="N26" s="4" t="inlineStr">
        <is>
          <t>Draft</t>
        </is>
      </c>
      <c r="O26" s="4" t="inlineStr">
        <is>
          <t>Not required (CP4b)</t>
        </is>
      </c>
      <c r="P26" s="4" t="inlineStr"/>
      <c r="Q26" s="4" t="inlineStr"/>
      <c r="R26" s="4" t="inlineStr">
        <is>
          <t>07_LinkedIn/LinkedIn_Series.docx, Post 22 · visual 08_Graphic/linkedin/P22.png</t>
        </is>
      </c>
    </row>
    <row r="27">
      <c r="A27" s="4" t="n">
        <v>23</v>
      </c>
      <c r="B27" s="4" t="n">
        <v>12</v>
      </c>
      <c r="C27" s="4" t="inlineStr">
        <is>
          <t>Tuesday</t>
        </is>
      </c>
      <c r="D27" s="5">
        <f>IF($E$1="","",$E$1+77)</f>
        <v/>
      </c>
      <c r="E27" s="4" t="inlineStr">
        <is>
          <t>08:00</t>
        </is>
      </c>
      <c r="F27" s="4" t="inlineStr">
        <is>
          <t>Which lock-in is acceptable</t>
        </is>
      </c>
      <c r="G27" s="4" t="inlineStr">
        <is>
          <t>Post 24 (Close, Week 12 Thursday). **Bridge:** Tuesday classifies which dependencies are worth accepting; Thursday applies that to the final stack: what I would select, and what I would deliberately leave out.</t>
        </is>
      </c>
      <c r="H27" s="4" t="inlineStr">
        <is>
          <t>Some lock-in is a good trade, and the skill is knowing which.</t>
        </is>
      </c>
      <c r="I27" s="4" t="inlineStr">
        <is>
          <t>Some lock-in is a good trade. The skill is knowing which.</t>
        </is>
      </c>
      <c r="J27" s="4" t="n">
        <v>257</v>
      </c>
      <c r="K27" s="4" t="inlineStr">
        <is>
          <t>#VendorRisk #EnterpriseArchitecture</t>
        </is>
      </c>
      <c r="L27" s="4" t="inlineStr">
        <is>
          <t>Heat-map table: the 17 layers and controls as rows; columns "acceptable", "manageable", "unacceptable"; each cell a short phrase from the synthesis table (vendor names removed). A highlighted band across the "unacceptable" column reads "the firm's own records: evidence, configuration, datasets, credentials". Source: synthesis IX.4.</t>
        </is>
      </c>
      <c r="M27" s="4" t="inlineStr">
        <is>
          <t>- Lock-in categories against the final Part IX.4 table - Any new ownership change in a "manageable" category</t>
        </is>
      </c>
      <c r="N27" s="4" t="inlineStr">
        <is>
          <t>Draft</t>
        </is>
      </c>
      <c r="O27" s="4" t="inlineStr">
        <is>
          <t>Not required (CP4b)</t>
        </is>
      </c>
      <c r="P27" s="4" t="inlineStr"/>
      <c r="Q27" s="4" t="inlineStr"/>
      <c r="R27" s="4" t="inlineStr">
        <is>
          <t>07_LinkedIn/LinkedIn_Series.docx, Post 23 · visual 08_Graphic/linkedin/P23.png</t>
        </is>
      </c>
    </row>
    <row r="28">
      <c r="A28" s="4" t="n">
        <v>24</v>
      </c>
      <c r="B28" s="4" t="n">
        <v>12</v>
      </c>
      <c r="C28" s="4" t="inlineStr">
        <is>
          <t>Thursday</t>
        </is>
      </c>
      <c r="D28" s="5">
        <f>IF($E$1="","",$E$1+79)</f>
        <v/>
      </c>
      <c r="E28" s="4" t="inlineStr">
        <is>
          <t>08:00</t>
        </is>
      </c>
      <c r="F28" s="4" t="inlineStr">
        <is>
          <t>Close: what I'd select, and what I'd deliberately not select</t>
        </is>
      </c>
      <c r="G28" s="4" t="inlineStr">
        <is>
          <t>Post 23 (Which lock-in is acceptable, Week 12 Tuesday). **Bridge:** Tuesday's lock-in classification is the filter; Thursday shows what passes through it, what does not, and what leading the change actually requires.</t>
        </is>
      </c>
      <c r="H28" s="4" t="inlineStr">
        <is>
          <t>The full stack on one page, plus a lesson about leading the transformation.</t>
        </is>
      </c>
      <c r="I28" s="4" t="inlineStr">
        <is>
          <t>Twelve weeks ago this series started from a popular diagram of the AI stack. On this review, 39 of its 80 product tiles were out of date. The diagram was a catalogue. The enterprise problem is a control system.</t>
        </is>
      </c>
      <c r="J28" s="4" t="n">
        <v>269</v>
      </c>
      <c r="K28" s="4" t="inlineStr">
        <is>
          <t>#EnterpriseArchitecture #AIGovernance</t>
        </is>
      </c>
      <c r="L28" s="4" t="inlineStr">
        <is>
          <t>The one-page architecture from synthesis I.2, with vendor names removed: control plane (C1–C8 with the L9 evidence plane) across the top; agent, knowledge and model planes beneath. To the right, a short "Deliberately not selected" column with the categories from XI.5 and XI.7. Optional carousel: slide 1 the popular stack diagram with 39 tiles flagged; slide 2 the one-page architecture; slide 3 the twelve decisions; slide 4 "not selected".</t>
        </is>
      </c>
      <c r="M28" s="4" t="inlineStr">
        <is>
          <t>- The final Part XI lists (avoid and monitor), especially any item that has changed tier since October 2026 - Ownership and status changes across the products in the first comment</t>
        </is>
      </c>
      <c r="N28" s="4" t="inlineStr">
        <is>
          <t>Draft</t>
        </is>
      </c>
      <c r="O28" s="4" t="inlineStr">
        <is>
          <t>Not required (CP4b)</t>
        </is>
      </c>
      <c r="P28" s="4" t="inlineStr"/>
      <c r="Q28" s="4" t="inlineStr"/>
      <c r="R28" s="4" t="inlineStr">
        <is>
          <t>07_LinkedIn/LinkedIn_Series.docx, Post 24 · visual 08_Graphic/linkedin/P24.png</t>
        </is>
      </c>
    </row>
  </sheetData>
  <dataValidations count="1">
    <dataValidation sqref="N4:N28" showDropDown="0" showInputMessage="0" showErrorMessage="0" allowBlank="1" type="list">
      <formula1>"Draft,Anecdote added,Scheduled,Published,Skipped"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2026-10-09T22:20:12Z</dcterms:created>
  <dcterms:modified xmlns:dcterms="http://purl.org/dc/terms/" xmlns:xsi="http://www.w3.org/2001/XMLSchema-instance" xsi:type="dcterms:W3CDTF">2026-10-09T22:20:12Z</dcterms:modified>
</cp:coreProperties>
</file>