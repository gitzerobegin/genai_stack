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lendar" sheetId="1" state="visible" r:id="rId1"/>
  </sheets>
  <definedNames/>
  <calcPr calcId="124519" fullCalcOnLoad="1"/>
</workbook>
</file>

<file path=xl/styles.xml><?xml version="1.0" encoding="utf-8"?>
<styleSheet xmlns="http://schemas.openxmlformats.org/spreadsheetml/2006/main">
  <numFmts count="1">
    <numFmt numFmtId="164" formatCode="ddd dd mmm yyyy"/>
  </numFmts>
  <fonts count="3">
    <font>
      <name val="Calibri"/>
      <family val="2"/>
      <color theme="1"/>
      <sz val="11"/>
      <scheme val="minor"/>
    </font>
    <font>
      <b val="1"/>
    </font>
    <font>
      <b val="1"/>
      <color rgb="00FFFFFF"/>
    </font>
  </fonts>
  <fills count="4">
    <fill>
      <patternFill/>
    </fill>
    <fill>
      <patternFill patternType="gray125"/>
    </fill>
    <fill>
      <patternFill patternType="solid">
        <fgColor rgb="00FFF2CC"/>
      </patternFill>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2" borderId="0" pivotButton="0" quotePrefix="0" xfId="0"/>
    <xf numFmtId="0" fontId="2" fillId="3"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9" customWidth="1" min="3" max="3"/>
    <col width="15" customWidth="1" min="4" max="4"/>
    <col width="9" customWidth="1" min="5" max="5"/>
    <col width="28" customWidth="1" min="6" max="6"/>
    <col width="30" customWidth="1" min="7" max="7"/>
    <col width="40" customWidth="1" min="8" max="8"/>
    <col width="45" customWidth="1" min="9" max="9"/>
    <col width="7" customWidth="1" min="10" max="10"/>
    <col width="22" customWidth="1" min="11" max="11"/>
    <col width="45" customWidth="1" min="12" max="12"/>
    <col width="45" customWidth="1" min="13" max="13"/>
    <col width="11" customWidth="1" min="14" max="14"/>
    <col width="16" customWidth="1" min="15" max="15"/>
    <col width="25" customWidth="1" min="16" max="16"/>
    <col width="30" customWidth="1" min="17" max="17"/>
    <col width="30" customWidth="1" min="18" max="18"/>
  </cols>
  <sheetData>
    <row r="1">
      <c r="A1" s="1" t="inlineStr">
        <is>
          <t>Series start date (first Tuesday after CP5 sign-off):</t>
        </is>
      </c>
      <c r="E1" s="2" t="n"/>
      <c r="F1" t="inlineStr">
        <is>
          <t>← enter the start Tuesday (dates and times below compute from it; posting time about 08:00 UK)</t>
        </is>
      </c>
    </row>
    <row r="3">
      <c r="A3" s="3" t="inlineStr">
        <is>
          <t>#</t>
        </is>
      </c>
      <c r="B3" s="3" t="inlineStr">
        <is>
          <t>Week</t>
        </is>
      </c>
      <c r="C3" s="3" t="inlineStr">
        <is>
          <t>Day</t>
        </is>
      </c>
      <c r="D3" s="3" t="inlineStr">
        <is>
          <t>Date</t>
        </is>
      </c>
      <c r="E3" s="3" t="inlineStr">
        <is>
          <t>Time (UK)</t>
        </is>
      </c>
      <c r="F3" s="3" t="inlineStr">
        <is>
          <t>Theme</t>
        </is>
      </c>
      <c r="G3" s="3" t="inlineStr">
        <is>
          <t>Pair</t>
        </is>
      </c>
      <c r="H3" s="3" t="inlineStr">
        <is>
          <t>Tension</t>
        </is>
      </c>
      <c r="I3" s="3" t="inlineStr">
        <is>
          <t>Hook (first line)</t>
        </is>
      </c>
      <c r="J3" s="3" t="inlineStr">
        <is>
          <t>Words</t>
        </is>
      </c>
      <c r="K3" s="3" t="inlineStr">
        <is>
          <t>Hashtags</t>
        </is>
      </c>
      <c r="L3" s="3" t="inlineStr">
        <is>
          <t>Visual brief</t>
        </is>
      </c>
      <c r="M3" s="3" t="inlineStr">
        <is>
          <t>Re-verify before posting</t>
        </is>
      </c>
      <c r="N3" s="3" t="inlineStr">
        <is>
          <t>Status</t>
        </is>
      </c>
      <c r="O3" s="3" t="inlineStr">
        <is>
          <t>Cleared</t>
        </is>
      </c>
      <c r="P3" s="3" t="inlineStr">
        <is>
          <t>Published URL</t>
        </is>
      </c>
      <c r="Q3" s="3" t="inlineStr">
        <is>
          <t>Responses / notes</t>
        </is>
      </c>
      <c r="R3" s="3" t="inlineStr">
        <is>
          <t>Full post (master document)</t>
        </is>
      </c>
    </row>
    <row r="4">
      <c r="A4" s="4" t="n">
        <v>1</v>
      </c>
      <c r="B4" s="4" t="n">
        <v>1</v>
      </c>
      <c r="C4" s="4" t="inlineStr">
        <is>
          <t>Tuesday</t>
        </is>
      </c>
      <c r="D4" s="5">
        <f>IF($E$1="","",$E$1+0)</f>
        <v/>
      </c>
      <c r="E4" s="4" t="inlineStr">
        <is>
          <t>08:00</t>
        </is>
      </c>
      <c r="F4" s="4" t="inlineStr">
        <is>
          <t>L9 Evaluation and observability</t>
        </is>
      </c>
      <c r="G4" s="4" t="inlineStr">
        <is>
          <t>Post 2 (C8, Week 1 Thursday). **Bridge:** Tuesday argues that evaluation must exist from day one; Thursday shows that the same eval suite, run independently and kept, is the validation evidence a model-risk function needs.</t>
        </is>
      </c>
      <c r="H4" s="4" t="inlineStr">
        <is>
          <t>The layer that ages slowest is the one most teams build last, and evals added after go-live measure the damage, not the quality.</t>
        </is>
      </c>
      <c r="I4" s="4" t="inlineStr">
        <is>
          <t>Most diagrams of the AI stack put evaluation in the last box. It is the layer that ages slowest — and the one most teams build last.</t>
        </is>
      </c>
      <c r="J4" s="4" t="n">
        <v>261</v>
      </c>
      <c r="K4" s="4" t="inlineStr">
        <is>
          <t>#AIEvaluation #LLMOps</t>
        </is>
      </c>
      <c r="L4" s="4" t="inlineStr">
        <is>
          <t>Two-panel diagram. Left: the original nine-layer stack with "Evals and observability" as the last box. Right: the same stack with evaluation and observability redrawn as a vertical plane running alongside every layer, labelled "firm-owned telemetry and evidence spine", with products drawn as replaceable plug-ins. A small callout shows the one metric: "Numeric faithfulness: 100%, any miss blocks." Source: L9 §9.13 and the H8 provisional view.</t>
        </is>
      </c>
      <c r="M4" s="4" t="inlineStr">
        <is>
          <t>- Arize/Dynatrace completion and the Langfuse/ClickHouse status - Whether OpenAI's Promptfoo acquisition has closed - OpenTelemetry GenAI conventions still at "Development" - The "five of the eleven" count, against the final L9 table</t>
        </is>
      </c>
      <c r="N4" s="4" t="inlineStr">
        <is>
          <t>Draft</t>
        </is>
      </c>
      <c r="O4" s="4" t="inlineStr">
        <is>
          <t>Not required (CP4b)</t>
        </is>
      </c>
      <c r="P4" s="4" t="inlineStr"/>
      <c r="Q4" s="4" t="inlineStr"/>
      <c r="R4" s="4" t="inlineStr">
        <is>
          <t>Master_Architecture: LinkedIn series, Post 1</t>
        </is>
      </c>
    </row>
    <row r="5">
      <c r="A5" s="4" t="n">
        <v>2</v>
      </c>
      <c r="B5" s="4" t="n">
        <v>1</v>
      </c>
      <c r="C5" s="4" t="inlineStr">
        <is>
          <t>Thursday</t>
        </is>
      </c>
      <c r="D5" s="5">
        <f>IF($E$1="","",$E$1+2)</f>
        <v/>
      </c>
      <c r="E5" s="4" t="inlineStr">
        <is>
          <t>08:00</t>
        </is>
      </c>
      <c r="F5" s="4" t="inlineStr">
        <is>
          <t>C8 Model risk, governance and audit</t>
        </is>
      </c>
      <c r="G5" s="4" t="inlineStr">
        <is>
          <t>Post 1 (L9, Week 1 Tuesday). **Bridge:** Tuesday's eval suite becomes Thursday's validation evidence, but only if someone independent challenges it, it is versioned, and it is retained.</t>
        </is>
      </c>
      <c r="H5" s="4" t="inlineStr">
        <is>
          <t>Your eval suite *is* your validation evidence. What model-risk discipline means when the "model" is an agent and the main US guidance has stepped aside.</t>
        </is>
      </c>
      <c r="I5" s="4" t="inlineStr">
        <is>
          <t>In April, the US supervisory guidance that had shaped model risk management since 2011 was replaced. Its successor, SR 26-2, places generative and agentic AI expressly outside its scope.</t>
        </is>
      </c>
      <c r="J5" s="4" t="n">
        <v>253</v>
      </c>
      <c r="K5" s="4" t="inlineStr">
        <is>
          <t>#ModelRisk #AIGovernance</t>
        </is>
      </c>
      <c r="L5" s="4" t="inlineStr">
        <is>
          <t>One-page "evidence pack" graphic for the worked example: eight tiles (prompt version, model version, data snapshot, tool calls, eval results, approver identity, timestamps, final output), all keyed to one trace ID and feeding an immutable archive. A side panel shows "governed unit = use case" with the model as a vendor component. Source: C8 §C8.12.</t>
        </is>
      </c>
      <c r="M5" s="4" t="inlineStr">
        <is>
          <t>- SR 26-2 status, and whether the agencies' AI/GenAI request for information has been published (update the post if it has) - SS1/23 scope statements - Collibra–trail ML completion</t>
        </is>
      </c>
      <c r="N5" s="4" t="inlineStr">
        <is>
          <t>Draft</t>
        </is>
      </c>
      <c r="O5" s="4" t="inlineStr">
        <is>
          <t>Not required (CP4b)</t>
        </is>
      </c>
      <c r="P5" s="4" t="inlineStr"/>
      <c r="Q5" s="4" t="inlineStr"/>
      <c r="R5" s="4" t="inlineStr">
        <is>
          <t>Master_Architecture: LinkedIn series, Post 2</t>
        </is>
      </c>
    </row>
    <row r="6">
      <c r="A6" s="4" t="n">
        <v>3</v>
      </c>
      <c r="B6" s="4" t="n">
        <v>2</v>
      </c>
      <c r="C6" s="4" t="inlineStr">
        <is>
          <t>Tuesday</t>
        </is>
      </c>
      <c r="D6" s="5">
        <f>IF($E$1="","",$E$1+7)</f>
        <v/>
      </c>
      <c r="E6" s="4" t="inlineStr">
        <is>
          <t>08:00</t>
        </is>
      </c>
      <c r="F6" s="4" t="inlineStr">
        <is>
          <t>L8 Data extraction and ingestion</t>
        </is>
      </c>
      <c r="G6" s="4" t="inlineStr">
        <is>
          <t>Post 4 (C3, Week 2 Thursday). **Bridge:** Tuesday shows that quality is decided at ingestion; Thursday shows that residency and privacy are decided there too.</t>
        </is>
      </c>
      <c r="H6" s="4" t="inlineStr">
        <is>
          <t>Some of the most convincing "hallucinations" in enterprise retrieval start in a PDF table parser, not in the model.</t>
        </is>
      </c>
      <c r="I6" s="4" t="inlineStr">
        <is>
          <t>Some of the most convincing "hallucinations" in enterprise retrieval systems are not the model's fault. They start in a table parser.</t>
        </is>
      </c>
      <c r="J6" s="4" t="n">
        <v>236</v>
      </c>
      <c r="K6" s="4" t="inlineStr">
        <is>
          <t>#RAG #DataQuality</t>
        </is>
      </c>
      <c r="L6" s="4" t="inlineStr">
        <is>
          <t>Pipeline diagram: source register → acquisition → classification/DLP → parser (drawn as a swappable cartridge) → "metadata envelope" stamped on each chunk (source, version, ACL, classification, parser manifest, lineage ID) → index gate ("no envelope, no index"). A red side-path shows "parsed numbers = context only"; a green path shows "authoritative figures via read-only tool". Source: L8 §8.9 and the six-component control plane in §8.13.</t>
        </is>
      </c>
      <c r="M6" s="4" t="inlineStr">
        <is>
          <t>- "Ten products assessed; only one carries ACL metadata; none emits lineage" (check for new lineage features) - Mistral OCR and Docling version status if mentioned in replies</t>
        </is>
      </c>
      <c r="N6" s="4" t="inlineStr">
        <is>
          <t>Draft</t>
        </is>
      </c>
      <c r="O6" s="4" t="inlineStr">
        <is>
          <t>Not required (CP4b)</t>
        </is>
      </c>
      <c r="P6" s="4" t="inlineStr"/>
      <c r="Q6" s="4" t="inlineStr"/>
      <c r="R6" s="4" t="inlineStr">
        <is>
          <t>Master_Architecture: LinkedIn series, Post 3</t>
        </is>
      </c>
    </row>
    <row r="7">
      <c r="A7" s="4" t="n">
        <v>4</v>
      </c>
      <c r="B7" s="4" t="n">
        <v>2</v>
      </c>
      <c r="C7" s="4" t="inlineStr">
        <is>
          <t>Thursday</t>
        </is>
      </c>
      <c r="D7" s="5">
        <f>IF($E$1="","",$E$1+9)</f>
        <v/>
      </c>
      <c r="E7" s="4" t="inlineStr">
        <is>
          <t>08:00</t>
        </is>
      </c>
      <c r="F7" s="4" t="inlineStr">
        <is>
          <t>C3 DLP and PII protection</t>
        </is>
      </c>
      <c r="G7" s="4" t="inlineStr">
        <is>
          <t>Post 3 (L8, Week 2 Tuesday). **Bridge:** If quality is decided at ingestion, so are residency and privacy; a filter at the prompt arrives too late.</t>
        </is>
      </c>
      <c r="H7" s="4" t="inlineStr">
        <is>
          <t>Data residency and PII decisions are made at ingestion, not at the prompt.</t>
        </is>
      </c>
      <c r="I7" s="4" t="inlineStr">
        <is>
          <t>One analyst question can place the same client identifier in seven places: a prompt, a retrieved chunk, a tool result, a provider's processing region, a trace store, an evaluation dataset and a memory record.</t>
        </is>
      </c>
      <c r="J7" s="4" t="n">
        <v>251</v>
      </c>
      <c r="K7" s="4" t="inlineStr">
        <is>
          <t>#DataProtection #PrivacyEngineering</t>
        </is>
      </c>
      <c r="L7" s="4" t="inlineStr">
        <is>
          <t>"Seven copies" diagram: one client identifier at the centre with arrows to seven stores (prompt, chunk, tool result, provider region, trace store, eval set, memory). Overlay six numbered enforcement points (E1 ingestion to E6 trace export) all calling one "privacy service" box. Inset: a draft showing CLIENT_A / MANDATE_1 placeholders instead of names. Source: C3 §C3.2, §C3.9 step 0, §C3.12.</t>
        </is>
      </c>
      <c r="M7" s="4" t="inlineStr">
        <is>
          <t>- Status of the DPF appeal C-703/25 P - Presidio governance and licence - Purview DSPM licensing statement</t>
        </is>
      </c>
      <c r="N7" s="4" t="inlineStr">
        <is>
          <t>Draft</t>
        </is>
      </c>
      <c r="O7" s="4" t="inlineStr">
        <is>
          <t>Not required (CP4b)</t>
        </is>
      </c>
      <c r="P7" s="4" t="inlineStr"/>
      <c r="Q7" s="4" t="inlineStr"/>
      <c r="R7" s="4" t="inlineStr">
        <is>
          <t>Master_Architecture: LinkedIn series, Post 4</t>
        </is>
      </c>
    </row>
    <row r="8">
      <c r="A8" s="4" t="n">
        <v>5</v>
      </c>
      <c r="B8" s="4" t="n">
        <v>3</v>
      </c>
      <c r="C8" s="4" t="inlineStr">
        <is>
          <t>Tuesday</t>
        </is>
      </c>
      <c r="D8" s="5">
        <f>IF($E$1="","",$E$1+14)</f>
        <v/>
      </c>
      <c r="E8" s="4" t="inlineStr">
        <is>
          <t>08:00</t>
        </is>
      </c>
      <c r="F8" s="4" t="inlineStr">
        <is>
          <t>L7 Embeddings and reranking</t>
        </is>
      </c>
      <c r="G8" s="4" t="inlineStr">
        <is>
          <t>Post 6 (C5, Week 3 Thursday). **Bridge:** Tuesday ends on "the embedding version is production configuration"; Thursday extends that to prompts and every other setting that changes outputs.</t>
        </is>
      </c>
      <c r="H8" s="4" t="inlineStr">
        <is>
          <t>Retrieval quality is a two-stage problem, and it is easy to tune only one stage.</t>
        </is>
      </c>
      <c r="I8" s="4" t="inlineStr">
        <is>
          <t>Retrieval quality is a two-stage problem, and it is easy to tune only one stage.</t>
        </is>
      </c>
      <c r="J8" s="4" t="n">
        <v>246</v>
      </c>
      <c r="K8" s="4" t="inlineStr">
        <is>
          <t>#InformationRetrieval #RAG</t>
        </is>
      </c>
      <c r="L8" s="4" t="inlineStr">
        <is>
          <t>Funnel diagram: "corpus → stage 1 (embed, k = 50–100, measure recall@k) → stage 2 (rerank, measure nDCG@10) → top passages to the model". Below it, a small "version tag" icon on each vector and a two-index migration strip (old index live, new index shadow, regression gate, cut-over). Source: L7 §7.3 and §7.9 step 6.</t>
        </is>
      </c>
      <c r="M8" s="4" t="inlineStr">
        <is>
          <t>- "Every vendor except OpenAI offers both" (check for a new OpenAI reranker) - Current model versions if any are named in replies</t>
        </is>
      </c>
      <c r="N8" s="4" t="inlineStr">
        <is>
          <t>Draft</t>
        </is>
      </c>
      <c r="O8" s="4" t="inlineStr">
        <is>
          <t>Not required (CP4b)</t>
        </is>
      </c>
      <c r="P8" s="4" t="inlineStr"/>
      <c r="Q8" s="4" t="inlineStr"/>
      <c r="R8" s="4" t="inlineStr">
        <is>
          <t>Master_Architecture: LinkedIn series, Post 5</t>
        </is>
      </c>
    </row>
    <row r="9">
      <c r="A9" s="4" t="n">
        <v>6</v>
      </c>
      <c r="B9" s="4" t="n">
        <v>3</v>
      </c>
      <c r="C9" s="4" t="inlineStr">
        <is>
          <t>Thursday</t>
        </is>
      </c>
      <c r="D9" s="5">
        <f>IF($E$1="","",$E$1+16)</f>
        <v/>
      </c>
      <c r="E9" s="4" t="inlineStr">
        <is>
          <t>08:00</t>
        </is>
      </c>
      <c r="F9" s="4" t="inlineStr">
        <is>
          <t>C5 Prompt and configuration management</t>
        </is>
      </c>
      <c r="G9" s="4" t="inlineStr">
        <is>
          <t>Post 5 (L7, Week 3 Tuesday). **Bridge:** If the embedding version is production configuration, so is the prompt, and both need versioning, review and rollback.</t>
        </is>
      </c>
      <c r="H9" s="4" t="inlineStr">
        <is>
          <t>Embedding versions and prompts are both production configuration, so they need versioning, review and rollback.</t>
        </is>
      </c>
      <c r="I9" s="4" t="inlineStr">
        <is>
          <t>A one-sentence edit to a prompt can change outputs as much as a model upgrade. Few organisations would let a model upgrade ship without review. Many let prompts change in a web console.</t>
        </is>
      </c>
      <c r="J9" s="4" t="n">
        <v>251</v>
      </c>
      <c r="K9" s="4" t="inlineStr">
        <is>
          <t>#LLMOps #ChangeManagement</t>
        </is>
      </c>
      <c r="L9" s="4" t="inlineStr">
        <is>
          <t>A "release manifest" card for the worked example (illustrative values): prompt set version, drafting model pinned to a dated version, fallback model, embedding and reranker versions, top-k, read-only tool list, guardrail policy version, eval threshold set. Arrows show pull request → second approver → eval gate → tagged release → registry label → trace stamped with version. Source: C5 §C5.12.</t>
        </is>
      </c>
      <c r="M9" s="4" t="inlineStr">
        <is>
          <t>- LaunchDarkly product name (AgentControl) - Langfuse and Promptfoo ownership status</t>
        </is>
      </c>
      <c r="N9" s="4" t="inlineStr">
        <is>
          <t>Draft</t>
        </is>
      </c>
      <c r="O9" s="4" t="inlineStr">
        <is>
          <t>Not required (CP4b)</t>
        </is>
      </c>
      <c r="P9" s="4" t="inlineStr"/>
      <c r="Q9" s="4" t="inlineStr"/>
      <c r="R9" s="4" t="inlineStr">
        <is>
          <t>Master_Architecture: LinkedIn series, Post 6</t>
        </is>
      </c>
    </row>
    <row r="10">
      <c r="A10" s="4" t="n">
        <v>7</v>
      </c>
      <c r="B10" s="4" t="n">
        <v>4</v>
      </c>
      <c r="C10" s="4" t="inlineStr">
        <is>
          <t>Tuesday</t>
        </is>
      </c>
      <c r="D10" s="5">
        <f>IF($E$1="","",$E$1+21)</f>
        <v/>
      </c>
      <c r="E10" s="4" t="inlineStr">
        <is>
          <t>08:00</t>
        </is>
      </c>
      <c r="F10" s="4" t="inlineStr">
        <is>
          <t>L6 Retrieval and knowledge stores</t>
        </is>
      </c>
      <c r="G10" s="4" t="inlineStr">
        <is>
          <t>Post 8 (C7, Week 4 Thursday). **Bridge:** Tuesday is about retrieving the right passages under real permissions; Thursday is about the passages someone else wrote for you.</t>
        </is>
      </c>
      <c r="H10" s="4" t="inlineStr">
        <is>
          <t>You may not need a vector database, but you do need retrieval you can measure.</t>
        </is>
      </c>
      <c r="I10" s="4" t="inlineStr">
        <is>
          <t>You may not need a vector database. You do need retrieval you can measure.</t>
        </is>
      </c>
      <c r="J10" s="4" t="n">
        <v>244</v>
      </c>
      <c r="K10" s="4" t="inlineStr">
        <is>
          <t>#VectorSearch #RAG</t>
        </is>
      </c>
      <c r="L10" s="4" t="inlineStr">
        <is>
          <t>Decision-tree graphic (L6 §6.9): Step 0 non-negotiables (filters inside the search, no unfiltered fallback, rebuild tested) → Step 1 "use what you run" (relational database, search engine, document database, object-store tier) → Step 2 three triggers → Step 3 dedicated engine. A side panel contrasts "filter after ranking + fallback = leakage" with "filter inside search + hard empty result".</t>
        </is>
      </c>
      <c r="M10" s="4" t="inlineStr">
        <is>
          <t>- pgvector version and any new CVEs - Pinecone Nexus and Weaviate licence status</t>
        </is>
      </c>
      <c r="N10" s="4" t="inlineStr">
        <is>
          <t>Draft</t>
        </is>
      </c>
      <c r="O10" s="4" t="inlineStr">
        <is>
          <t>Not required (CP4b)</t>
        </is>
      </c>
      <c r="P10" s="4" t="inlineStr"/>
      <c r="Q10" s="4" t="inlineStr"/>
      <c r="R10" s="4" t="inlineStr">
        <is>
          <t>Master_Architecture: LinkedIn series, Post 7</t>
        </is>
      </c>
    </row>
    <row r="11">
      <c r="A11" s="4" t="n">
        <v>8</v>
      </c>
      <c r="B11" s="4" t="n">
        <v>4</v>
      </c>
      <c r="C11" s="4" t="inlineStr">
        <is>
          <t>Thursday</t>
        </is>
      </c>
      <c r="D11" s="5">
        <f>IF($E$1="","",$E$1+23)</f>
        <v/>
      </c>
      <c r="E11" s="4" t="inlineStr">
        <is>
          <t>08:00</t>
        </is>
      </c>
      <c r="F11" s="4" t="inlineStr">
        <is>
          <t>C7 AI security</t>
        </is>
      </c>
      <c r="G11" s="4" t="inlineStr">
        <is>
          <t>Post 7 (L6, Week 4 Tuesday). **Bridge:** Retrieval brings back passages; some were written by someone who wants your agent to act on them.</t>
        </is>
      </c>
      <c r="H11" s="4" t="inlineStr">
        <is>
          <t>Every retrieved document is untrusted input. Indirect prompt injection is a supply-chain problem.</t>
        </is>
      </c>
      <c r="I11" s="4" t="inlineStr">
        <is>
          <t>A language model follows instructions it finds in any text it reads. Give it tools, and those instructions become actions.</t>
        </is>
      </c>
      <c r="J11" s="4" t="n">
        <v>263</v>
      </c>
      <c r="K11" s="4" t="inlineStr">
        <is>
          <t>#AISecurity #PromptInjection</t>
        </is>
      </c>
      <c r="L11" s="4" t="inlineStr">
        <is>
          <t>Venn diagram with three circles: untrusted input, sensitive data, outbound channel. The centre is marked "never in one agent". Around it, a defence-in-depth ring for the worked example: deterministic workflow, numeric check, data marking, chunk screening, canary documents, human approval. Source: C7 §C7.9 step 0 and §C7.12.</t>
        </is>
      </c>
      <c r="M11" s="4" t="inlineStr">
        <is>
          <t>- Any new findings on the March 2026 package compromise (intrusion vector is reported two ways) - Acquisition statuses in the security list</t>
        </is>
      </c>
      <c r="N11" s="4" t="inlineStr">
        <is>
          <t>Draft</t>
        </is>
      </c>
      <c r="O11" s="4" t="inlineStr">
        <is>
          <t>Not required (CP4b)</t>
        </is>
      </c>
      <c r="P11" s="4" t="inlineStr"/>
      <c r="Q11" s="4" t="inlineStr"/>
      <c r="R11" s="4" t="inlineStr">
        <is>
          <t>Master_Architecture: LinkedIn series, Post 8</t>
        </is>
      </c>
    </row>
    <row r="12">
      <c r="A12" s="4" t="n">
        <v>9</v>
      </c>
      <c r="B12" s="4" t="n">
        <v>5</v>
      </c>
      <c r="C12" s="4" t="inlineStr">
        <is>
          <t>Tuesday</t>
        </is>
      </c>
      <c r="D12" s="5">
        <f>IF($E$1="","",$E$1+28)</f>
        <v/>
      </c>
      <c r="E12" s="4" t="inlineStr">
        <is>
          <t>08:00</t>
        </is>
      </c>
      <c r="F12" s="4" t="inlineStr">
        <is>
          <t>L4 Tools, protocols and agent connectivity</t>
        </is>
      </c>
      <c r="G12" s="4" t="inlineStr">
        <is>
          <t>Post 10 (C4, Week 5 Thursday). **Bridge:** Tuesday puts a gateway in front of every tool; Thursday decides who is allowed through it, and on whose behalf.</t>
        </is>
      </c>
      <c r="H12" s="4" t="inlineStr">
        <is>
          <t>Open tool protocols made connecting tools easy, and that is exactly why tool governance now matters.</t>
        </is>
      </c>
      <c r="I12" s="4" t="inlineStr">
        <is>
          <t>Open tool protocols have made it easy to connect an agent to almost anything. That is exactly why tool governance now matters.</t>
        </is>
      </c>
      <c r="J12" s="4" t="n">
        <v>242</v>
      </c>
      <c r="K12" s="4" t="inlineStr">
        <is>
          <t>#AgenticAI #APISecurity</t>
        </is>
      </c>
      <c r="L12" s="4" t="inlineStr">
        <is>
          <t>Layer diagram: agent workflow (L3) → tool-governance sub-layer (gateway, private registry, hash-pinned definitions, policy decision, audit) → tools. Tools are colour-coded read-only (green) versus write (amber, "separate approval"). Callout: "45 servers · 20 models · 36.5% average attack success" with the source. Source: L4 §4.2, §4.9 step 0, §4.13 H3 view.</t>
        </is>
      </c>
      <c r="M12" s="4" t="inlineStr">
        <is>
          <t>- Whether a newer MCP specification makes authorisation mandatory - AAIF governance status of MCP and A2A - MCPTox figures (cite the paper directly if challenged)</t>
        </is>
      </c>
      <c r="N12" s="4" t="inlineStr">
        <is>
          <t>Draft</t>
        </is>
      </c>
      <c r="O12" s="4" t="inlineStr">
        <is>
          <t>Not required (CP4b)</t>
        </is>
      </c>
      <c r="P12" s="4" t="inlineStr"/>
      <c r="Q12" s="4" t="inlineStr"/>
      <c r="R12" s="4" t="inlineStr">
        <is>
          <t>Master_Architecture: LinkedIn series, Post 9</t>
        </is>
      </c>
    </row>
    <row r="13">
      <c r="A13" s="4" t="n">
        <v>10</v>
      </c>
      <c r="B13" s="4" t="n">
        <v>5</v>
      </c>
      <c r="C13" s="4" t="inlineStr">
        <is>
          <t>Thursday</t>
        </is>
      </c>
      <c r="D13" s="5">
        <f>IF($E$1="","",$E$1+30)</f>
        <v/>
      </c>
      <c r="E13" s="4" t="inlineStr">
        <is>
          <t>08:00</t>
        </is>
      </c>
      <c r="F13" s="4" t="inlineStr">
        <is>
          <t>C4 Identity and access for agents</t>
        </is>
      </c>
      <c r="G13" s="4" t="inlineStr">
        <is>
          <t>Post 9 (L4, Week 5 Tuesday). **Bridge:** Once every tool sits behind a gateway, the question is who the agent is, and whose authority it carries.</t>
        </is>
      </c>
      <c r="H13" s="4" t="inlineStr">
        <is>
          <t>"Who did this?" needs an answer when the actor is an agent.</t>
        </is>
      </c>
      <c r="I13" s="4" t="inlineStr">
        <is>
          <t>"Who did this?" is the first question in every incident review. When the actor is an agent, many logs can answer only with the name of a shared service account.</t>
        </is>
      </c>
      <c r="J13" s="4" t="n">
        <v>254</v>
      </c>
      <c r="K13" s="4" t="inlineStr">
        <is>
          <t>#IAM #AgenticAI</t>
        </is>
      </c>
      <c r="L13" s="4" t="inlineStr">
        <is>
          <t>"One attribution chain" graphic: analyst signs in → token exchange (on behalf of analyst, read-only scope, minutes TTL) → agent identity (sponsor named) → gateway policy decision → tool → audit event (user · agent · tool · args hash · decision · trace ID) → evidence pack. A separate lane shows the approver (different person, step-up authentication). Source: C4 §C4.12.</t>
        </is>
      </c>
      <c r="M13" s="4" t="inlineStr">
        <is>
          <t>- Product names and GA status for Entra Agent ID and Okta Agent SSO - Whether any UK or EU rule now names accountability for AI agents</t>
        </is>
      </c>
      <c r="N13" s="4" t="inlineStr">
        <is>
          <t>Draft</t>
        </is>
      </c>
      <c r="O13" s="4" t="inlineStr">
        <is>
          <t>Not required (CP4b)</t>
        </is>
      </c>
      <c r="P13" s="4" t="inlineStr"/>
      <c r="Q13" s="4" t="inlineStr"/>
      <c r="R13" s="4" t="inlineStr">
        <is>
          <t>Master_Architecture: LinkedIn series, Post 10</t>
        </is>
      </c>
    </row>
    <row r="14">
      <c r="A14" s="4" t="n">
        <v>11</v>
      </c>
      <c r="B14" s="4" t="n">
        <v>6</v>
      </c>
      <c r="C14" s="4" t="inlineStr">
        <is>
          <t>Tuesday</t>
        </is>
      </c>
      <c r="D14" s="5">
        <f>IF($E$1="","",$E$1+35)</f>
        <v/>
      </c>
      <c r="E14" s="4" t="inlineStr">
        <is>
          <t>08:00</t>
        </is>
      </c>
      <c r="F14" s="4" t="inlineStr">
        <is>
          <t>L3 Agent frameworks and orchestration</t>
        </is>
      </c>
      <c r="G14" s="4" t="inlineStr">
        <is>
          <t>Post 12 (C2, Week 6 Thursday). **Bridge:** Tuesday decides how much autonomy a process gets; Thursday explains why guardrails cannot make up for a wrong answer to that question.</t>
        </is>
      </c>
      <c r="H14" s="4" t="inlineStr">
        <is>
          <t>Most enterprise "agents" should be deterministic workflows with one judgement step.</t>
        </is>
      </c>
      <c r="I14" s="4" t="inlineStr">
        <is>
          <t>Most of the enterprise "agents" I would approve are not agents at all. They are deterministic workflows with one judgement step.</t>
        </is>
      </c>
      <c r="J14" s="4" t="n">
        <v>256</v>
      </c>
      <c r="K14" s="4" t="inlineStr">
        <is>
          <t>#AgenticAI #WorkflowAutomation</t>
        </is>
      </c>
      <c r="L14" s="4" t="inlineStr">
        <is>
          <t>The worked example's L3 graph as a flow: authorise → fetch attribution snapshot (read-only) → retrieve style and prior commentary → one LLM drafting step → evaluation gate → human approval interrupt → release service. Mark "autonomy budget = 1" on the drafting node and show the checkpoint store beneath the graph. Side panel: three stacked concerns (workflow orchestration, bounded agent steps, durable execution). Source: L3 §3.12 and §3.13.</t>
        </is>
      </c>
      <c r="M14" s="4" t="inlineStr">
        <is>
          <t>- Framework GA and version status; the Agent Builder shutdown date if posting near it - CP4-9 tier statements if any SDK reaches 1.0</t>
        </is>
      </c>
      <c r="N14" s="4" t="inlineStr">
        <is>
          <t>Draft</t>
        </is>
      </c>
      <c r="O14" s="4" t="inlineStr">
        <is>
          <t>Not required (CP4b)</t>
        </is>
      </c>
      <c r="P14" s="4" t="inlineStr"/>
      <c r="Q14" s="4" t="inlineStr"/>
      <c r="R14" s="4" t="inlineStr">
        <is>
          <t>Master_Architecture: LinkedIn series, Post 11</t>
        </is>
      </c>
    </row>
    <row r="15">
      <c r="A15" s="4" t="n">
        <v>12</v>
      </c>
      <c r="B15" s="4" t="n">
        <v>6</v>
      </c>
      <c r="C15" s="4" t="inlineStr">
        <is>
          <t>Thursday</t>
        </is>
      </c>
      <c r="D15" s="5">
        <f>IF($E$1="","",$E$1+37)</f>
        <v/>
      </c>
      <c r="E15" s="4" t="inlineStr">
        <is>
          <t>08:00</t>
        </is>
      </c>
      <c r="F15" s="4" t="inlineStr">
        <is>
          <t>C2 Guardrails</t>
        </is>
      </c>
      <c r="G15" s="4" t="inlineStr">
        <is>
          <t>Post 11 (L3, Week 6 Tuesday). **Bridge:** Tuesday's deterministic design does most of the safety work; guardrails are the second line, not a licence for more autonomy.</t>
        </is>
      </c>
      <c r="H15" s="4" t="inlineStr">
        <is>
          <t>Guardrails cannot fix a workflow that should never have been autonomous.</t>
        </is>
      </c>
      <c r="I15" s="4" t="inlineStr">
        <is>
          <t>Guardrails cannot fix a workflow that should never have been autonomous.</t>
        </is>
      </c>
      <c r="J15" s="4" t="n">
        <v>257</v>
      </c>
      <c r="K15" s="4" t="inlineStr">
        <is>
          <t>#AIGuardrails #ResponsibleAI</t>
        </is>
      </c>
      <c r="L15" s="4" t="inlineStr">
        <is>
          <t>A three-tier pyramid: deterministic rules (base, widest), small classifiers (middle), model-based judges (narrow top), with "fail closed" running down the side. Beside it, "Step 0: decide autonomy first (L3)" as a gate in front of the pyramid. Inset: the worked example's inline numeric-grounding guard. Source: C2 §C2.9 and §C2.12.</t>
        </is>
      </c>
      <c r="M15" s="4" t="inlineStr">
        <is>
          <t>- NeMo Guardrails version; any new Meta guardrail releases - Preview or GA status of Azure Task Adherence</t>
        </is>
      </c>
      <c r="N15" s="4" t="inlineStr">
        <is>
          <t>Draft</t>
        </is>
      </c>
      <c r="O15" s="4" t="inlineStr">
        <is>
          <t>Not required (CP4b)</t>
        </is>
      </c>
      <c r="P15" s="4" t="inlineStr"/>
      <c r="Q15" s="4" t="inlineStr"/>
      <c r="R15" s="4" t="inlineStr">
        <is>
          <t>Master_Architecture: LinkedIn series, Post 12</t>
        </is>
      </c>
    </row>
    <row r="16">
      <c r="A16" s="4" t="n">
        <v>13</v>
      </c>
      <c r="B16" s="4" t="n">
        <v>7</v>
      </c>
      <c r="C16" s="4" t="inlineStr">
        <is>
          <t>Tuesday</t>
        </is>
      </c>
      <c r="D16" s="5">
        <f>IF($E$1="","",$E$1+42)</f>
        <v/>
      </c>
      <c r="E16" s="4" t="inlineStr">
        <is>
          <t>08:00</t>
        </is>
      </c>
      <c r="F16" s="4" t="inlineStr">
        <is>
          <t>L2 Inference, serving and model access</t>
        </is>
      </c>
      <c r="G16" s="4" t="inlineStr">
        <is>
          <t>Post 14 (C1, Week 7 Thursday). **Bridge:** Tuesday makes managed access the default; Thursday shows the gateway is what keeps that choice reversible.</t>
        </is>
      </c>
      <c r="H16" s="4" t="inlineStr">
        <is>
          <t>Self-hosting is a capacity and operating-model decision, not just a cost decision.</t>
        </is>
      </c>
      <c r="I16" s="4" t="inlineStr">
        <is>
          <t>Self-hosting a model is a capacity and operating-model decision. It is only partly a cost decision.</t>
        </is>
      </c>
      <c r="J16" s="4" t="n">
        <v>253</v>
      </c>
      <c r="K16" s="4" t="inlineStr">
        <is>
          <t>#LLMInference #MLOps</t>
        </is>
      </c>
      <c r="L16" s="4" t="inlineStr">
        <is>
          <t>L2 split into three stacked sub-layers (serving engines; optimisation, marked "only if you run GPU fleets"; model access), with the gateway lifted out into the control plane. Beside it, a month-end demand curve against a reserved-capacity line, showing headroom and an "overflow stays in region" arrow. Source: L2 §2.3, §2.9 step 3, §2.13 H1 view.</t>
        </is>
      </c>
      <c r="M16" s="4" t="inlineStr">
        <is>
          <t>- Overflow and residency behaviour statements for each hyperscaler - OpenRouter–Stripe closing; SGLang advisory status</t>
        </is>
      </c>
      <c r="N16" s="4" t="inlineStr">
        <is>
          <t>Draft</t>
        </is>
      </c>
      <c r="O16" s="4" t="inlineStr">
        <is>
          <t>Not required (CP4b)</t>
        </is>
      </c>
      <c r="P16" s="4" t="inlineStr"/>
      <c r="Q16" s="4" t="inlineStr"/>
      <c r="R16" s="4" t="inlineStr">
        <is>
          <t>Master_Architecture: LinkedIn series, Post 13</t>
        </is>
      </c>
    </row>
    <row r="17">
      <c r="A17" s="4" t="n">
        <v>14</v>
      </c>
      <c r="B17" s="4" t="n">
        <v>7</v>
      </c>
      <c r="C17" s="4" t="inlineStr">
        <is>
          <t>Thursday</t>
        </is>
      </c>
      <c r="D17" s="5">
        <f>IF($E$1="","",$E$1+44)</f>
        <v/>
      </c>
      <c r="E17" s="4" t="inlineStr">
        <is>
          <t>08:00</t>
        </is>
      </c>
      <c r="F17" s="4" t="inlineStr">
        <is>
          <t>C1 AI / LLM gateway</t>
        </is>
      </c>
      <c r="G17" s="4" t="inlineStr">
        <is>
          <t>Post 13 (L2, Week 7 Tuesday). **Bridge:** Managed access is only a safe default if you can leave it; the gateway is what makes leaving a configuration change.</t>
        </is>
      </c>
      <c r="H17" s="4" t="inlineStr">
        <is>
          <t>The most boring component is the one that makes model switching, and exit plans, possible.</t>
        </is>
      </c>
      <c r="I17" s="4" t="inlineStr">
        <is>
          <t>The most boring component in the AI stack is the one that makes an exit plan real.</t>
        </is>
      </c>
      <c r="J17" s="4" t="n">
        <v>252</v>
      </c>
      <c r="K17" s="4" t="inlineStr">
        <is>
          <t>#AIGateway #OperationalResilience</t>
        </is>
      </c>
      <c r="L17" s="4" t="inlineStr">
        <is>
          <t>Hub diagram: applications on the left, one "AI traffic gateway" in the centre (routing, fallback, budgets, policy, log; C2, C3, C4 and C6 plugged in), providers on the right, with a dashed "pre-qualified alternative" route and a stopwatch labelled "time to switch: hours". Below: "two independent deployments, fail closed". Source: C1 §C1.3, §C1.9, §C1.13 H1 view.</t>
        </is>
      </c>
      <c r="M17" s="4" t="inlineStr">
        <is>
          <t>- The PS7/26 / PS26/2 effective date (18 March 2027) - Ownership status of Portkey and OpenRouter - Azure APIM AI Gateway tier status</t>
        </is>
      </c>
      <c r="N17" s="4" t="inlineStr">
        <is>
          <t>Draft</t>
        </is>
      </c>
      <c r="O17" s="4" t="inlineStr">
        <is>
          <t>Not required (CP4b)</t>
        </is>
      </c>
      <c r="P17" s="4" t="inlineStr"/>
      <c r="Q17" s="4" t="inlineStr"/>
      <c r="R17" s="4" t="inlineStr">
        <is>
          <t>Master_Architecture: LinkedIn series, Post 14</t>
        </is>
      </c>
    </row>
    <row r="18">
      <c r="A18" s="4" t="n">
        <v>15</v>
      </c>
      <c r="B18" s="4" t="n">
        <v>8</v>
      </c>
      <c r="C18" s="4" t="inlineStr">
        <is>
          <t>Tuesday</t>
        </is>
      </c>
      <c r="D18" s="5">
        <f>IF($E$1="","",$E$1+49)</f>
        <v/>
      </c>
      <c r="E18" s="4" t="inlineStr">
        <is>
          <t>08:00</t>
        </is>
      </c>
      <c r="F18" s="4" t="inlineStr">
        <is>
          <t>L1 Foundation models</t>
        </is>
      </c>
      <c r="G18" s="4" t="inlineStr">
        <is>
          <t>Post 16 (C6, Week 8 Thursday). **Bridge:** A portfolio of models needs a way to choose between them on cost without fooling yourself; Thursday supplies the metric.</t>
        </is>
      </c>
      <c r="H18" s="4" t="inlineStr">
        <is>
          <t>Treat models as a portfolio, not a bet.</t>
        </is>
      </c>
      <c r="I18" s="4" t="inlineStr">
        <is>
          <t>Treat foundation models as a portfolio, not a bet.</t>
        </is>
      </c>
      <c r="J18" s="4" t="n">
        <v>241</v>
      </c>
      <c r="K18" s="4" t="inlineStr">
        <is>
          <t>#FoundationModels #VendorRisk</t>
        </is>
      </c>
      <c r="L18" s="4" t="inlineStr">
        <is>
          <t>Portfolio grid: four roles (primary mid tier, fallback mid tier from a different vendor, small classifier, self-hosted open weight) as rows, with columns "pinned version", "region", "qualified on eval suite (date)", "retirement runway". All rows feed one gateway. A "frontier tier: off by default" tile sits above. Source: L1 §1.9 and §1.12 (shown without vendor names).</t>
        </is>
      </c>
      <c r="M18" s="4" t="inlineStr">
        <is>
          <t>- The Gemini Flash retirement date and the Claude Fable 5 suspension dates (both cited in the first comment) - Current model families and versions, which change monthly - CP4 tier decisions as published in the final document</t>
        </is>
      </c>
      <c r="N18" s="4" t="inlineStr">
        <is>
          <t>Draft</t>
        </is>
      </c>
      <c r="O18" s="4" t="inlineStr">
        <is>
          <t>Not required (CP4b)</t>
        </is>
      </c>
      <c r="P18" s="4" t="inlineStr"/>
      <c r="Q18" s="4" t="inlineStr"/>
      <c r="R18" s="4" t="inlineStr">
        <is>
          <t>Master_Architecture: LinkedIn series, Post 15</t>
        </is>
      </c>
    </row>
    <row r="19">
      <c r="A19" s="4" t="n">
        <v>16</v>
      </c>
      <c r="B19" s="4" t="n">
        <v>8</v>
      </c>
      <c r="C19" s="4" t="inlineStr">
        <is>
          <t>Thursday</t>
        </is>
      </c>
      <c r="D19" s="5">
        <f>IF($E$1="","",$E$1+51)</f>
        <v/>
      </c>
      <c r="E19" s="4" t="inlineStr">
        <is>
          <t>08:00</t>
        </is>
      </c>
      <c r="F19" s="4" t="inlineStr">
        <is>
          <t>C6 AI FinOps</t>
        </is>
      </c>
      <c r="G19" s="4" t="inlineStr">
        <is>
          <t>Post 15 (L1, Week 8 Tuesday). **Bridge:** A model portfolio is only as good as the cost metric used to choose within it, and cost per token is the wrong one.</t>
        </is>
      </c>
      <c r="H19" s="4" t="inlineStr">
        <is>
          <t>Cost per task, not cost per token, is the metric executives understand.</t>
        </is>
      </c>
      <c r="I19" s="4" t="inlineStr">
        <is>
          <t>Cost per token is the number on the price list. Cost per task is the number executives understand, and the one that tells you whether a change saved anything.</t>
        </is>
      </c>
      <c r="J19" s="4" t="n">
        <v>262</v>
      </c>
      <c r="K19" s="4" t="inlineStr">
        <is>
          <t>#FinOps #UnitEconomics</t>
        </is>
      </c>
      <c r="L19" s="4" t="inlineStr">
        <is>
          <t>Side-by-side bars for one approved commentary (illustrative): "token cost" (small) versus "reviewer time" (large), with a third bar "regenerations" that multiplies the token cost. Beneath, the data flow: gateway meter (tags: use case, fund, run ID) → join to trace → monthly reconciliation to invoice → firm-owned cost dataset. Label clearly as illustrative. Source: C6 §C6.9 and §C6.12.</t>
        </is>
      </c>
      <c r="M19" s="4" t="inlineStr">
        <is>
          <t>- List prices used in the illustrative arithmetic (they change often; "well under a dollar" should still hold) - FOCUS 1.5 ratification status</t>
        </is>
      </c>
      <c r="N19" s="4" t="inlineStr">
        <is>
          <t>Draft</t>
        </is>
      </c>
      <c r="O19" s="4" t="inlineStr">
        <is>
          <t>Not required (CP4b)</t>
        </is>
      </c>
      <c r="P19" s="4" t="inlineStr"/>
      <c r="Q19" s="4" t="inlineStr"/>
      <c r="R19" s="4" t="inlineStr">
        <is>
          <t>Master_Architecture: LinkedIn series, Post 16</t>
        </is>
      </c>
    </row>
    <row r="20">
      <c r="A20" s="4" t="n">
        <v>17</v>
      </c>
      <c r="B20" s="4" t="n">
        <v>9</v>
      </c>
      <c r="C20" s="4" t="inlineStr">
        <is>
          <t>Tuesday</t>
        </is>
      </c>
      <c r="D20" s="5">
        <f>IF($E$1="","",$E$1+56)</f>
        <v/>
      </c>
      <c r="E20" s="4" t="inlineStr">
        <is>
          <t>08:00</t>
        </is>
      </c>
      <c r="F20" s="4" t="inlineStr">
        <is>
          <t>L5 Memory (deliberately last)</t>
        </is>
      </c>
      <c r="G20" s="4" t="inlineStr">
        <is>
          <t>Post 18 (Regulated reality, Week 9 Thursday). **Bridge:** Memory is where governance gets personal (erasure, retention, reproducibility); Thursday steps back to the regulations that frame all of it.</t>
        </is>
      </c>
      <c r="H20" s="4" t="inlineStr">
        <is>
          <t>What an agent remembers is a governance question before it is a technical one, which is why memory comes last.</t>
        </is>
      </c>
      <c r="I20" s="4" t="inlineStr">
        <is>
          <t>I left memory until week nine on purpose. What an agent remembers is a governance question before it is a technical one, and it is the layer I would build last.</t>
        </is>
      </c>
      <c r="J20" s="4" t="n">
        <v>265</v>
      </c>
      <c r="K20" s="4" t="inlineStr">
        <is>
          <t>#AgentMemory #DataProtection</t>
        </is>
      </c>
      <c r="L20" s="4" t="inlineStr">
        <is>
          <t>The build-order roadmap (plan §12.6) as a horizontal timeline: governance → evaluation and observability → model access (gateway first) → retrieval → workflows → tools → **memory** (highlighted) → optimisation. Inset: a memory write path with a policy gate (DLP screen, allow-list, approval), a subject index and a "forget-by-subject" arrow reaching store, vectors, revisions and backups. Source: L5 §5.9 and §5.12.</t>
        </is>
      </c>
      <c r="M20" s="4" t="inlineStr">
        <is>
          <t>- ICO guidance (under review following the Data (Use and Access) Act) - Memory product defaults (TTL and pruning) and LangMem release status</t>
        </is>
      </c>
      <c r="N20" s="4" t="inlineStr">
        <is>
          <t>Draft</t>
        </is>
      </c>
      <c r="O20" s="4" t="inlineStr">
        <is>
          <t>Not required (CP4b)</t>
        </is>
      </c>
      <c r="P20" s="4" t="inlineStr"/>
      <c r="Q20" s="4" t="inlineStr"/>
      <c r="R20" s="4" t="inlineStr">
        <is>
          <t>Master_Architecture: LinkedIn series, Post 17</t>
        </is>
      </c>
    </row>
    <row r="21">
      <c r="A21" s="4" t="n">
        <v>18</v>
      </c>
      <c r="B21" s="4" t="n">
        <v>9</v>
      </c>
      <c r="C21" s="4" t="inlineStr">
        <is>
          <t>Thursday</t>
        </is>
      </c>
      <c r="D21" s="5">
        <f>IF($E$1="","",$E$1+58)</f>
        <v/>
      </c>
      <c r="E21" s="4" t="inlineStr">
        <is>
          <t>08:00</t>
        </is>
      </c>
      <c r="F21" s="4" t="inlineStr">
        <is>
          <t>Regulated reality: EU AI Act and DORA</t>
        </is>
      </c>
      <c r="G21" s="4" t="inlineStr">
        <is>
          <t>Post 17 (L5, Week 9 Tuesday). **Bridge:** After eight weeks of layers and controls, the regulatory frame explains why multi-vendor design and retained evidence stop being optional.</t>
        </is>
      </c>
      <c r="H21" s="4" t="inlineStr">
        <is>
          <t>Concentration risk turns multi-vendor from a preference into a requirement.</t>
        </is>
      </c>
      <c r="I21" s="4" t="inlineStr">
        <is>
          <t>Concentration risk is turning multi-vendor AI from a preference into something close to a requirement.</t>
        </is>
      </c>
      <c r="J21" s="4" t="n">
        <v>267</v>
      </c>
      <c r="K21" s="4" t="inlineStr">
        <is>
          <t>#EUAIAct #DORA</t>
        </is>
      </c>
      <c r="L21" s="4" t="inlineStr">
        <is>
          <t>A timeline from April 2026 to December 2027: 17 Apr 2026 SR 26-2 (GenAI out of scope); 13 Jul 2026 UK CTP designations in force; 2 Aug 2026 GPAI enforcement and Article 50 transparency; 18 Mar 2027 UK material third-party notifications; 2 Dec 2027 EU AI Act Annex III. Beneath it, a two-column panel: "designated for direct oversight: hyperscalers and infrastructure" versus "not designated: model vendors (oversight rests on the firm)". Source: regulatory_facts.json and C8 §C8.11.</t>
        </is>
      </c>
      <c r="M21" s="4" t="inlineStr">
        <is>
          <t>- Any update to the DORA CTPP list or new UK CTP designations (especially any model vendor) - Whether the US agencies' AI request for information has been published - EU AI Act dates (any further Omnibus changes) and the PS7/26 effective date - "For most asset-management uses, today's live duties are literacy and transparency" is a judgement; keep it phrased as such</t>
        </is>
      </c>
      <c r="N21" s="4" t="inlineStr">
        <is>
          <t>Draft</t>
        </is>
      </c>
      <c r="O21" s="4" t="inlineStr">
        <is>
          <t>Not required (CP4b)</t>
        </is>
      </c>
      <c r="P21" s="4" t="inlineStr"/>
      <c r="Q21" s="4" t="inlineStr"/>
      <c r="R21" s="4" t="inlineStr">
        <is>
          <t>Master_Architecture: LinkedIn series, Post 18</t>
        </is>
      </c>
    </row>
  </sheetData>
  <dataValidations count="1">
    <dataValidation sqref="N4:N21" showDropDown="0" showInputMessage="0" showErrorMessage="0" allowBlank="1" type="list">
      <formula1>"Draft,Anecdote added,Scheduled,Published,Skipped"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2026-10-09T05:51:50Z</dcterms:created>
  <dcterms:modified xmlns:dcterms="http://purl.org/dc/terms/" xmlns:xsi="http://www.w3.org/2001/XMLSchema-instance" xsi:type="dcterms:W3CDTF">2026-10-09T05:51:50Z</dcterms:modified>
</cp:coreProperties>
</file>