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endar" sheetId="1" state="visible" r:id="rId1"/>
  </sheets>
  <definedNames/>
  <calcPr calcId="124519" fullCalcOnLoad="1"/>
</workbook>
</file>

<file path=xl/styles.xml><?xml version="1.0" encoding="utf-8"?>
<styleSheet xmlns="http://schemas.openxmlformats.org/spreadsheetml/2006/main">
  <numFmts count="1">
    <numFmt numFmtId="164" formatCode="dd mmm yyyy"/>
  </numFmts>
  <fonts count="3">
    <font>
      <name val="Calibri"/>
      <family val="2"/>
      <color theme="1"/>
      <sz val="11"/>
      <scheme val="minor"/>
    </font>
    <font>
      <b val="1"/>
    </font>
    <font>
      <b val="1"/>
      <color rgb="00FFFFFF"/>
    </font>
  </fonts>
  <fills count="4">
    <fill>
      <patternFill/>
    </fill>
    <fill>
      <patternFill patternType="gray125"/>
    </fill>
    <fill>
      <patternFill patternType="solid">
        <fgColor rgb="00FFF2CC"/>
      </patternFill>
    </fill>
    <fill>
      <patternFill patternType="solid">
        <fgColor rgb="001F3864"/>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2" borderId="0" pivotButton="0" quotePrefix="0" xfId="0"/>
    <xf numFmtId="0" fontId="2" fillId="3"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6"/>
  <sheetViews>
    <sheetView workbookViewId="0">
      <pane xSplit="6" ySplit="3" topLeftCell="G4" activePane="bottomRight" state="frozen"/>
      <selection pane="topRight"/>
      <selection pane="bottomLeft"/>
      <selection pane="bottomRight" activeCell="A1" sqref="A1"/>
    </sheetView>
  </sheetViews>
  <sheetFormatPr baseColWidth="8" defaultRowHeight="15"/>
  <cols>
    <col width="5" customWidth="1" min="1" max="1"/>
    <col width="6" customWidth="1" min="2" max="2"/>
    <col width="9" customWidth="1" min="3" max="3"/>
    <col width="15" customWidth="1" min="4" max="4"/>
    <col width="9" customWidth="1" min="5" max="5"/>
    <col width="28" customWidth="1" min="6" max="6"/>
    <col width="45" customWidth="1" min="7" max="7"/>
    <col width="30" customWidth="1" min="8" max="8"/>
    <col width="40" customWidth="1" min="9" max="9"/>
    <col width="45" customWidth="1" min="10" max="10"/>
    <col width="7" customWidth="1" min="11" max="11"/>
    <col width="22" customWidth="1" min="12" max="12"/>
    <col width="45" customWidth="1" min="13" max="13"/>
    <col width="45" customWidth="1" min="14" max="14"/>
    <col width="11" customWidth="1" min="15" max="15"/>
    <col width="16" customWidth="1" min="16" max="16"/>
    <col width="25" customWidth="1" min="17" max="17"/>
    <col width="30" customWidth="1" min="18" max="18"/>
    <col width="30" customWidth="1" min="19" max="19"/>
  </cols>
  <sheetData>
    <row r="1">
      <c r="A1" s="1" t="inlineStr">
        <is>
          <t>Series start date (the date you publish Post 1):</t>
        </is>
      </c>
      <c r="E1" s="2" t="n"/>
      <c r="F1" t="inlineStr">
        <is>
          <t>← enter the date of Post 1; suggested dates below compute from it (any weekday; edit freely)</t>
        </is>
      </c>
    </row>
    <row r="3">
      <c r="A3" s="3" t="inlineStr">
        <is>
          <t>#</t>
        </is>
      </c>
      <c r="B3" s="3" t="inlineStr">
        <is>
          <t>Week</t>
        </is>
      </c>
      <c r="C3" s="3" t="inlineStr">
        <is>
          <t>Slot</t>
        </is>
      </c>
      <c r="D3" s="3" t="inlineStr">
        <is>
          <t>Suggested date</t>
        </is>
      </c>
      <c r="E3" s="3" t="inlineStr">
        <is>
          <t>Time (UK)</t>
        </is>
      </c>
      <c r="F3" s="3" t="inlineStr">
        <is>
          <t>Theme</t>
        </is>
      </c>
      <c r="G3" s="3" t="inlineStr">
        <is>
          <t>Worked example step</t>
        </is>
      </c>
      <c r="H3" s="3" t="inlineStr">
        <is>
          <t>Pair</t>
        </is>
      </c>
      <c r="I3" s="3" t="inlineStr">
        <is>
          <t>Tension</t>
        </is>
      </c>
      <c r="J3" s="3" t="inlineStr">
        <is>
          <t>Hook (first line)</t>
        </is>
      </c>
      <c r="K3" s="3" t="inlineStr">
        <is>
          <t>Words</t>
        </is>
      </c>
      <c r="L3" s="3" t="inlineStr">
        <is>
          <t>Hashtags</t>
        </is>
      </c>
      <c r="M3" s="3" t="inlineStr">
        <is>
          <t>Visual brief</t>
        </is>
      </c>
      <c r="N3" s="3" t="inlineStr">
        <is>
          <t>Re-verify before posting</t>
        </is>
      </c>
      <c r="O3" s="3" t="inlineStr">
        <is>
          <t>Status</t>
        </is>
      </c>
      <c r="P3" s="3" t="inlineStr">
        <is>
          <t>Cleared</t>
        </is>
      </c>
      <c r="Q3" s="3" t="inlineStr">
        <is>
          <t>Published URL</t>
        </is>
      </c>
      <c r="R3" s="3" t="inlineStr">
        <is>
          <t>Responses / notes</t>
        </is>
      </c>
      <c r="S3" s="3" t="inlineStr">
        <is>
          <t>Full post and visual</t>
        </is>
      </c>
    </row>
    <row r="4">
      <c r="A4" s="4" t="n">
        <v>0</v>
      </c>
      <c r="B4" s="4" t="n">
        <v>0</v>
      </c>
      <c r="C4" s="4" t="inlineStr">
        <is>
          <t>Introduction</t>
        </is>
      </c>
      <c r="D4" s="5">
        <f>IF($E$1="","",$E$1+-3)</f>
        <v/>
      </c>
      <c r="E4" s="4" t="inlineStr">
        <is>
          <t>08:00</t>
        </is>
      </c>
      <c r="F4" s="4" t="inlineStr">
        <is>
          <t>Series introduction: the enterprise GenAI stack, layer by layer</t>
        </is>
      </c>
      <c r="G4" s="4" t="inlineStr">
        <is>
          <t>The brief: The use case and its boundary: the agent writes words around numbers it is given; it never produces a number, and a named portfolio manager approves every draft.</t>
        </is>
      </c>
      <c r="H4" s="4" t="inlineStr">
        <is>
          <t>Post 1 (L1, Week 1). **Bridge:** The series starts where every architecture starts: the models, and how not to bet the firm on one of them.</t>
        </is>
      </c>
      <c r="I4" s="4" t="inlineStr">
        <is>
          <t>The logos move faster than any diagram; the controls around them are what last.</t>
        </is>
      </c>
      <c r="J4" s="4" t="inlineStr">
        <is>
          <t>Over the next twelve weeks I am going to take the enterprise GenAI stack apart, one layer at a time.</t>
        </is>
      </c>
      <c r="K4" s="4" t="n">
        <v>233</v>
      </c>
      <c r="L4" s="4" t="inlineStr">
        <is>
          <t>#GenerativeAI #EnterpriseArchitecture</t>
        </is>
      </c>
      <c r="M4" s="4" t="inlineStr">
        <is>
          <t>Series map: the nine layers (L1 → L9) as a stack on the left, each paired by a connector with its control or theme on the right, labelled with week numbers 1–9. Weeks 10–12 (worked example, start small, build vs buy, where not to abstract, lock-in, close) as a strip beneath. A banner across the top: "the control plane around the products is the architecture". Footer: "24 posts · 12 weeks · one worked example". Source: the calendar above and synthesis Part I.</t>
        </is>
      </c>
      <c r="N4" s="4" t="inlineStr">
        <is>
          <t>- The counts (140 products, 1,255 sources, 39 of 80 tiles) against the final published edition - The planned date of Post 1 (set in the content calendar)</t>
        </is>
      </c>
      <c r="O4" s="4" t="inlineStr">
        <is>
          <t>Draft</t>
        </is>
      </c>
      <c r="P4" s="4" t="inlineStr">
        <is>
          <t>Not required (CP4b)</t>
        </is>
      </c>
      <c r="Q4" s="4" t="inlineStr"/>
      <c r="R4" s="4" t="inlineStr"/>
      <c r="S4" s="4" t="inlineStr">
        <is>
          <t>07_LinkedIn/LinkedIn_Series.docx, Post 0 · visual 08_Graphic/linkedin/P00.png</t>
        </is>
      </c>
    </row>
    <row r="5">
      <c r="A5" s="4" t="n">
        <v>1</v>
      </c>
      <c r="B5" s="4" t="n">
        <v>1</v>
      </c>
      <c r="C5" s="4" t="inlineStr">
        <is>
          <t>Stack post</t>
        </is>
      </c>
      <c r="D5" s="5">
        <f>IF($E$1="","",$E$1+0)</f>
        <v/>
      </c>
      <c r="E5" s="4" t="inlineStr">
        <is>
          <t>08:00</t>
        </is>
      </c>
      <c r="F5" s="4" t="inlineStr">
        <is>
          <t>L1 Foundation models</t>
        </is>
      </c>
      <c r="G5" s="4" t="inlineStr">
        <is>
          <t>Models: Four model roles, each pinned to an exact version: a primary drafting model, a fallback from a different vendor, a small classifier for reviewer edits, and a self-hosted open-weight model for anything touching unmasked client data.</t>
        </is>
      </c>
      <c r="H5" s="4" t="inlineStr">
        <is>
          <t>Post 2 (C6, Week 1). **Bridge:** A portfolio of models needs a way to choose between them on cost without fooling yourself; the control post supplies the metric.</t>
        </is>
      </c>
      <c r="I5" s="4" t="inlineStr">
        <is>
          <t>Treat models as a portfolio, not a bet.</t>
        </is>
      </c>
      <c r="J5" s="4" t="inlineStr">
        <is>
          <t>Treat foundation models as a portfolio, not a bet.</t>
        </is>
      </c>
      <c r="K5" s="4" t="n">
        <v>241</v>
      </c>
      <c r="L5" s="4" t="inlineStr">
        <is>
          <t>#FoundationModels #VendorRisk</t>
        </is>
      </c>
      <c r="M5" s="4" t="inlineStr">
        <is>
          <t>Portfolio grid: four roles (primary mid tier, fallback mid tier from a different vendor, small classifier, self-hosted open weight) as rows, with columns "pinned version", "region", "qualified on eval suite (date)", "retirement runway". All rows feed one gateway. A "frontier tier: off by default" tile sits above. Source: L1 §1.9 and §1.12 (shown without vendor names).</t>
        </is>
      </c>
      <c r="N5" s="4" t="inlineStr">
        <is>
          <t>- The Gemini Flash retirement date and the Claude Fable 5 suspension dates (both cited in the first comment) - Current model families and versions, which change monthly - CP4 tier decisions as published in the final document</t>
        </is>
      </c>
      <c r="O5" s="4" t="inlineStr">
        <is>
          <t>Draft</t>
        </is>
      </c>
      <c r="P5" s="4" t="inlineStr">
        <is>
          <t>Not required (CP4b)</t>
        </is>
      </c>
      <c r="Q5" s="4" t="inlineStr"/>
      <c r="R5" s="4" t="inlineStr"/>
      <c r="S5" s="4" t="inlineStr">
        <is>
          <t>07_LinkedIn/LinkedIn_Series.docx, Post 1 · visual 08_Graphic/linkedin/P01.png</t>
        </is>
      </c>
    </row>
    <row r="6">
      <c r="A6" s="4" t="n">
        <v>2</v>
      </c>
      <c r="B6" s="4" t="n">
        <v>1</v>
      </c>
      <c r="C6" s="4" t="inlineStr">
        <is>
          <t>Control post</t>
        </is>
      </c>
      <c r="D6" s="5">
        <f>IF($E$1="","",$E$1+2)</f>
        <v/>
      </c>
      <c r="E6" s="4" t="inlineStr">
        <is>
          <t>08:00</t>
        </is>
      </c>
      <c r="F6" s="4" t="inlineStr">
        <is>
          <t>C6 AI FinOps</t>
        </is>
      </c>
      <c r="G6" s="4" t="inlineStr">
        <is>
          <t>Cost: A run ID on every call, tagged with use case and fund, joined to the trace; a monthly budget set from two month-end cycles; a per-run ceiling on model calls and tokens.</t>
        </is>
      </c>
      <c r="H6" s="4" t="inlineStr">
        <is>
          <t>Post 1 (L1, Week 1). **Bridge:** A model portfolio is only as good as the cost metric used to choose within it, and cost per token is the wrong one.</t>
        </is>
      </c>
      <c r="I6" s="4" t="inlineStr">
        <is>
          <t>Cost per task, not cost per token, is the metric executives understand.</t>
        </is>
      </c>
      <c r="J6" s="4" t="inlineStr">
        <is>
          <t>Cost per token is the number on the price list. Cost per task is the number executives understand, and the one that tells you whether a change saved anything.</t>
        </is>
      </c>
      <c r="K6" s="4" t="n">
        <v>263</v>
      </c>
      <c r="L6" s="4" t="inlineStr">
        <is>
          <t>#FinOps #UnitEconomics</t>
        </is>
      </c>
      <c r="M6" s="4" t="inlineStr">
        <is>
          <t>Side-by-side bars for one approved commentary (illustrative): "token cost" (small) versus "reviewer time" (large), with a third bar "regenerations" that multiplies the token cost. Beneath, the data flow: gateway meter (tags: use case, fund, run ID) → join to trace → monthly reconciliation to invoice → firm-owned cost dataset. Label clearly as illustrative. Source: C6 §C6.9 and §C6.12.</t>
        </is>
      </c>
      <c r="N6" s="4" t="inlineStr">
        <is>
          <t>- List prices used in the illustrative arithmetic (they change often; "well under a dollar" should still hold) - FOCUS 1.5 ratification status</t>
        </is>
      </c>
      <c r="O6" s="4" t="inlineStr">
        <is>
          <t>Draft</t>
        </is>
      </c>
      <c r="P6" s="4" t="inlineStr">
        <is>
          <t>Not required (CP4b)</t>
        </is>
      </c>
      <c r="Q6" s="4" t="inlineStr"/>
      <c r="R6" s="4" t="inlineStr"/>
      <c r="S6" s="4" t="inlineStr">
        <is>
          <t>07_LinkedIn/LinkedIn_Series.docx, Post 2 · visual 08_Graphic/linkedin/P02.png</t>
        </is>
      </c>
    </row>
    <row r="7">
      <c r="A7" s="4" t="n">
        <v>3</v>
      </c>
      <c r="B7" s="4" t="n">
        <v>2</v>
      </c>
      <c r="C7" s="4" t="inlineStr">
        <is>
          <t>Stack post</t>
        </is>
      </c>
      <c r="D7" s="5">
        <f>IF($E$1="","",$E$1+7)</f>
        <v/>
      </c>
      <c r="E7" s="4" t="inlineStr">
        <is>
          <t>08:00</t>
        </is>
      </c>
      <c r="F7" s="4" t="inlineStr">
        <is>
          <t>L2 Inference, serving and model access</t>
        </is>
      </c>
      <c r="G7" s="4" t="inlineStr">
        <is>
          <t>Model access: Drafting through the primary cloud's in-region model service, with capacity sized for the month-end peak and an open-weight route kept ready as the stressed exit.</t>
        </is>
      </c>
      <c r="H7" s="4" t="inlineStr">
        <is>
          <t>Post 4 (C1, Week 2). **Bridge:** The stack post makes managed access the default; the control post shows the gateway is what keeps that choice reversible.</t>
        </is>
      </c>
      <c r="I7" s="4" t="inlineStr">
        <is>
          <t>Self-hosting is a capacity and operating-model decision, not just a cost decision.</t>
        </is>
      </c>
      <c r="J7" s="4" t="inlineStr">
        <is>
          <t>Self-hosting a model is a capacity and operating-model decision. It is only partly a cost decision.</t>
        </is>
      </c>
      <c r="K7" s="4" t="n">
        <v>253</v>
      </c>
      <c r="L7" s="4" t="inlineStr">
        <is>
          <t>#LLMInference #MLOps</t>
        </is>
      </c>
      <c r="M7" s="4" t="inlineStr">
        <is>
          <t>L2 split into three stacked sub-layers (serving engines; optimisation, marked "only if you run GPU fleets"; model access), with the gateway lifted out into the control plane. Beside it, a month-end demand curve against a reserved-capacity line, showing headroom and an "overflow stays in region" arrow. Source: L2 §2.3, §2.9 step 3, §2.13 H1 view.</t>
        </is>
      </c>
      <c r="N7" s="4" t="inlineStr">
        <is>
          <t>- Overflow and residency behaviour statements for each hyperscaler - OpenRouter–Stripe closing; SGLang advisory status</t>
        </is>
      </c>
      <c r="O7" s="4" t="inlineStr">
        <is>
          <t>Draft</t>
        </is>
      </c>
      <c r="P7" s="4" t="inlineStr">
        <is>
          <t>Not required (CP4b)</t>
        </is>
      </c>
      <c r="Q7" s="4" t="inlineStr"/>
      <c r="R7" s="4" t="inlineStr"/>
      <c r="S7" s="4" t="inlineStr">
        <is>
          <t>07_LinkedIn/LinkedIn_Series.docx, Post 3 · visual 08_Graphic/linkedin/P03.png</t>
        </is>
      </c>
    </row>
    <row r="8">
      <c r="A8" s="4" t="n">
        <v>4</v>
      </c>
      <c r="B8" s="4" t="n">
        <v>2</v>
      </c>
      <c r="C8" s="4" t="inlineStr">
        <is>
          <t>Control post</t>
        </is>
      </c>
      <c r="D8" s="5">
        <f>IF($E$1="","",$E$1+9)</f>
        <v/>
      </c>
      <c r="E8" s="4" t="inlineStr">
        <is>
          <t>08:00</t>
        </is>
      </c>
      <c r="F8" s="4" t="inlineStr">
        <is>
          <t>C1 AI / LLM gateway</t>
        </is>
      </c>
      <c r="G8" s="4" t="inlineStr">
        <is>
          <t>Gateway: One gateway route, attribution-commentary-draft: the workflow calls the route with its own identity and never holds a provider key; residency, fallback, budgets and inline guards live on the route.</t>
        </is>
      </c>
      <c r="H8" s="4" t="inlineStr">
        <is>
          <t>Post 3 (L2, Week 2). **Bridge:** Managed access is only a safe default if you can leave it; the gateway is what makes leaving a configuration change.</t>
        </is>
      </c>
      <c r="I8" s="4" t="inlineStr">
        <is>
          <t>The most boring component is the one that makes model switching, and exit plans, possible.</t>
        </is>
      </c>
      <c r="J8" s="4" t="inlineStr">
        <is>
          <t>The most boring component in the AI stack is the one that makes an exit plan real.</t>
        </is>
      </c>
      <c r="K8" s="4" t="n">
        <v>253</v>
      </c>
      <c r="L8" s="4" t="inlineStr">
        <is>
          <t>#AIGateway #OperationalResilience</t>
        </is>
      </c>
      <c r="M8" s="4" t="inlineStr">
        <is>
          <t>Hub diagram: applications on the left, one "AI traffic gateway" in the centre (routing, fallback, budgets, policy, log; C2, C3, C4 and C6 plugged in), providers on the right, with a dashed "pre-qualified alternative" route and a stopwatch labelled "time to switch: hours". Below: "two independent deployments, fail closed". Source: C1 §C1.3, §C1.9, §C1.13 H1 view.</t>
        </is>
      </c>
      <c r="N8" s="4" t="inlineStr">
        <is>
          <t>- The PS7/26 / PS26/2 effective date (18 March 2027) - Ownership status of Portkey and OpenRouter - Azure APIM AI Gateway tier status</t>
        </is>
      </c>
      <c r="O8" s="4" t="inlineStr">
        <is>
          <t>Draft</t>
        </is>
      </c>
      <c r="P8" s="4" t="inlineStr">
        <is>
          <t>Not required (CP4b)</t>
        </is>
      </c>
      <c r="Q8" s="4" t="inlineStr"/>
      <c r="R8" s="4" t="inlineStr"/>
      <c r="S8" s="4" t="inlineStr">
        <is>
          <t>07_LinkedIn/LinkedIn_Series.docx, Post 4 · visual 08_Graphic/linkedin/P04.png</t>
        </is>
      </c>
    </row>
    <row r="9">
      <c r="A9" s="4" t="n">
        <v>5</v>
      </c>
      <c r="B9" s="4" t="n">
        <v>3</v>
      </c>
      <c r="C9" s="4" t="inlineStr">
        <is>
          <t>Stack post</t>
        </is>
      </c>
      <c r="D9" s="5">
        <f>IF($E$1="","",$E$1+14)</f>
        <v/>
      </c>
      <c r="E9" s="4" t="inlineStr">
        <is>
          <t>08:00</t>
        </is>
      </c>
      <c r="F9" s="4" t="inlineStr">
        <is>
          <t>L3 Agent frameworks and orchestration</t>
        </is>
      </c>
      <c r="G9" s="4" t="inlineStr">
        <is>
          <t>Workflow: A pinned workflow graph: authorise, fetch the attribution snapshot, retrieve style and prior commentary, one drafting step, an evaluation gate, a human approval interrupt, then release by a separate service.</t>
        </is>
      </c>
      <c r="H9" s="4" t="inlineStr">
        <is>
          <t>Post 6 (C2, Week 3). **Bridge:** The stack post decides how much autonomy a process gets; the control post explains why guardrails cannot make up for a wrong answer to that question.</t>
        </is>
      </c>
      <c r="I9" s="4" t="inlineStr">
        <is>
          <t>Most enterprise "agents" should be deterministic workflows with one judgement step.</t>
        </is>
      </c>
      <c r="J9" s="4" t="inlineStr">
        <is>
          <t>Most of the enterprise "agents" I would approve are not agents at all. They are deterministic workflows with one judgement step.</t>
        </is>
      </c>
      <c r="K9" s="4" t="n">
        <v>256</v>
      </c>
      <c r="L9" s="4" t="inlineStr">
        <is>
          <t>#AgenticAI #WorkflowAutomation</t>
        </is>
      </c>
      <c r="M9" s="4" t="inlineStr">
        <is>
          <t>The worked example's L3 graph as a flow: authorise → fetch attribution snapshot (read-only) → retrieve style and prior commentary → one LLM drafting step → evaluation gate → human approval interrupt → release service. Mark "autonomy budget = 1" on the drafting node and show the checkpoint store beneath the graph. Side panel: three stacked concerns (workflow orchestration, bounded agent steps, durable execution). Source: L3 §3.12 and §3.13.</t>
        </is>
      </c>
      <c r="N9" s="4" t="inlineStr">
        <is>
          <t>- Framework GA and version status; the Agent Builder shutdown date if posting near it - CP4-9 tier statements if any SDK reaches 1.0</t>
        </is>
      </c>
      <c r="O9" s="4" t="inlineStr">
        <is>
          <t>Draft</t>
        </is>
      </c>
      <c r="P9" s="4" t="inlineStr">
        <is>
          <t>Not required (CP4b)</t>
        </is>
      </c>
      <c r="Q9" s="4" t="inlineStr"/>
      <c r="R9" s="4" t="inlineStr"/>
      <c r="S9" s="4" t="inlineStr">
        <is>
          <t>07_LinkedIn/LinkedIn_Series.docx, Post 5 · visual 08_Graphic/linkedin/P05.png</t>
        </is>
      </c>
    </row>
    <row r="10">
      <c r="A10" s="4" t="n">
        <v>6</v>
      </c>
      <c r="B10" s="4" t="n">
        <v>3</v>
      </c>
      <c r="C10" s="4" t="inlineStr">
        <is>
          <t>Control post</t>
        </is>
      </c>
      <c r="D10" s="5">
        <f>IF($E$1="","",$E$1+16)</f>
        <v/>
      </c>
      <c r="E10" s="4" t="inlineStr">
        <is>
          <t>08:00</t>
        </is>
      </c>
      <c r="F10" s="4" t="inlineStr">
        <is>
          <t>C2 Guardrails</t>
        </is>
      </c>
      <c r="G10" s="4" t="inlineStr">
        <is>
          <t>Guardrails: A deterministic numeric comparator on every draft, injection screening of retrieved text, a PII check on output and denied topics (forecasts, advice).</t>
        </is>
      </c>
      <c r="H10" s="4" t="inlineStr">
        <is>
          <t>Post 5 (L3, Week 3). **Bridge:** The stack post's deterministic design does most of the safety work; guardrails are the second line, not a licence for more autonomy.</t>
        </is>
      </c>
      <c r="I10" s="4" t="inlineStr">
        <is>
          <t>Guardrails cannot fix a workflow that should never have been autonomous.</t>
        </is>
      </c>
      <c r="J10" s="4" t="inlineStr">
        <is>
          <t>Guardrails cannot fix a workflow that should never have been autonomous.</t>
        </is>
      </c>
      <c r="K10" s="4" t="n">
        <v>258</v>
      </c>
      <c r="L10" s="4" t="inlineStr">
        <is>
          <t>#AIGuardrails #ResponsibleAI</t>
        </is>
      </c>
      <c r="M10" s="4" t="inlineStr">
        <is>
          <t>A three-tier pyramid: deterministic rules (base, widest), small classifiers (middle), model-based judges (narrow top), with "fail closed" running down the side. Beside it, "Step 0: decide autonomy first (L3)" as a gate in front of the pyramid. Inset: the worked example's inline numeric-grounding guard. Source: C2 §C2.9 and §C2.12.</t>
        </is>
      </c>
      <c r="N10" s="4" t="inlineStr">
        <is>
          <t>- NeMo Guardrails version; any new Meta guardrail releases - Preview or GA status of Azure Task Adherence</t>
        </is>
      </c>
      <c r="O10" s="4" t="inlineStr">
        <is>
          <t>Draft</t>
        </is>
      </c>
      <c r="P10" s="4" t="inlineStr">
        <is>
          <t>Not required (CP4b)</t>
        </is>
      </c>
      <c r="Q10" s="4" t="inlineStr"/>
      <c r="R10" s="4" t="inlineStr"/>
      <c r="S10" s="4" t="inlineStr">
        <is>
          <t>07_LinkedIn/LinkedIn_Series.docx, Post 6 · visual 08_Graphic/linkedin/P06.png</t>
        </is>
      </c>
    </row>
    <row r="11">
      <c r="A11" s="4" t="n">
        <v>7</v>
      </c>
      <c r="B11" s="4" t="n">
        <v>4</v>
      </c>
      <c r="C11" s="4" t="inlineStr">
        <is>
          <t>Stack post</t>
        </is>
      </c>
      <c r="D11" s="5">
        <f>IF($E$1="","",$E$1+21)</f>
        <v/>
      </c>
      <c r="E11" s="4" t="inlineStr">
        <is>
          <t>08:00</t>
        </is>
      </c>
      <c r="F11" s="4" t="inlineStr">
        <is>
          <t>L4 Tools, protocols and agent connectivity</t>
        </is>
      </c>
      <c r="G11" s="4" t="inlineStr">
        <is>
          <t>Tools: Four tools behind the tool gateway: read-only attribution results with a snapshot hash, read-only fund reference data, a sandboxed calculator for derived figures, and retrieval of approved commentary.</t>
        </is>
      </c>
      <c r="H11" s="4" t="inlineStr">
        <is>
          <t>Post 8 (C4, Week 4). **Bridge:** The stack post puts a gateway in front of every tool; the control post decides who is allowed through it, and on whose behalf.</t>
        </is>
      </c>
      <c r="I11" s="4" t="inlineStr">
        <is>
          <t>Open tool protocols made connecting tools easy, and that is exactly why tool governance now matters.</t>
        </is>
      </c>
      <c r="J11" s="4" t="inlineStr">
        <is>
          <t>Open tool protocols have made it easy to connect an agent to almost anything. That is exactly why tool governance now matters.</t>
        </is>
      </c>
      <c r="K11" s="4" t="n">
        <v>242</v>
      </c>
      <c r="L11" s="4" t="inlineStr">
        <is>
          <t>#AgenticAI #APISecurity</t>
        </is>
      </c>
      <c r="M11" s="4" t="inlineStr">
        <is>
          <t>Layer diagram: agent workflow (L3) → tool-governance sub-layer (gateway, private registry, hash-pinned definitions, policy decision, audit) → tools. Tools are colour-coded read-only (green) versus write (amber, "separate approval"). Callout: "45 servers · 20 models · 36.5% average attack success" with the source. Source: L4 §4.2, §4.9 step 0, §4.13 H3 view.</t>
        </is>
      </c>
      <c r="N11" s="4" t="inlineStr">
        <is>
          <t>- Whether a newer MCP specification makes authorisation mandatory - AAIF governance status of MCP and A2A - MCPTox figures (cite the paper directly if challenged)</t>
        </is>
      </c>
      <c r="O11" s="4" t="inlineStr">
        <is>
          <t>Draft</t>
        </is>
      </c>
      <c r="P11" s="4" t="inlineStr">
        <is>
          <t>Not required (CP4b)</t>
        </is>
      </c>
      <c r="Q11" s="4" t="inlineStr"/>
      <c r="R11" s="4" t="inlineStr"/>
      <c r="S11" s="4" t="inlineStr">
        <is>
          <t>07_LinkedIn/LinkedIn_Series.docx, Post 7 · visual 08_Graphic/linkedin/P07.png</t>
        </is>
      </c>
    </row>
    <row r="12">
      <c r="A12" s="4" t="n">
        <v>8</v>
      </c>
      <c r="B12" s="4" t="n">
        <v>4</v>
      </c>
      <c r="C12" s="4" t="inlineStr">
        <is>
          <t>Control post</t>
        </is>
      </c>
      <c r="D12" s="5">
        <f>IF($E$1="","",$E$1+23)</f>
        <v/>
      </c>
      <c r="E12" s="4" t="inlineStr">
        <is>
          <t>08:00</t>
        </is>
      </c>
      <c r="F12" s="4" t="inlineStr">
        <is>
          <t>C4 Identity and access for agents</t>
        </is>
      </c>
      <c r="G12" s="4" t="inlineStr">
        <is>
          <t>Identity: A registered agent identity with a named sponsor; it acts on behalf of the analyst with a read-only, minutes-long token; a different portfolio manager approves with step-up authentication.</t>
        </is>
      </c>
      <c r="H12" s="4" t="inlineStr">
        <is>
          <t>Post 7 (L4, Week 4). **Bridge:** Once every tool sits behind a gateway, the question is who the agent is, and whose authority it carries.</t>
        </is>
      </c>
      <c r="I12" s="4" t="inlineStr">
        <is>
          <t>"Who did this?" needs an answer when the actor is an agent.</t>
        </is>
      </c>
      <c r="J12" s="4" t="inlineStr">
        <is>
          <t>"Who did this?" is the first question in every incident review. When the actor is an agent, many logs can answer only with the name of a shared service account.</t>
        </is>
      </c>
      <c r="K12" s="4" t="n">
        <v>255</v>
      </c>
      <c r="L12" s="4" t="inlineStr">
        <is>
          <t>#IAM #AgenticAI</t>
        </is>
      </c>
      <c r="M12" s="4" t="inlineStr">
        <is>
          <t>"One attribution chain" graphic: analyst signs in → token exchange (on behalf of analyst, read-only scope, minutes TTL) → agent identity (sponsor named) → gateway policy decision → tool → audit event (user · agent · tool · args hash · decision · trace ID) → evidence pack. A separate lane shows the approver (different person, step-up authentication). Source: C4 §C4.12.</t>
        </is>
      </c>
      <c r="N12" s="4" t="inlineStr">
        <is>
          <t>- Product names and GA status for Entra Agent ID and Okta Agent SSO - Whether any UK or EU rule now names accountability for AI agents</t>
        </is>
      </c>
      <c r="O12" s="4" t="inlineStr">
        <is>
          <t>Draft</t>
        </is>
      </c>
      <c r="P12" s="4" t="inlineStr">
        <is>
          <t>Not required (CP4b)</t>
        </is>
      </c>
      <c r="Q12" s="4" t="inlineStr"/>
      <c r="R12" s="4" t="inlineStr"/>
      <c r="S12" s="4" t="inlineStr">
        <is>
          <t>07_LinkedIn/LinkedIn_Series.docx, Post 8 · visual 08_Graphic/linkedin/P08.png</t>
        </is>
      </c>
    </row>
    <row r="13">
      <c r="A13" s="4" t="n">
        <v>9</v>
      </c>
      <c r="B13" s="4" t="n">
        <v>5</v>
      </c>
      <c r="C13" s="4" t="inlineStr">
        <is>
          <t>Stack post</t>
        </is>
      </c>
      <c r="D13" s="5">
        <f>IF($E$1="","",$E$1+28)</f>
        <v/>
      </c>
      <c r="E13" s="4" t="inlineStr">
        <is>
          <t>08:00</t>
        </is>
      </c>
      <c r="F13" s="4" t="inlineStr">
        <is>
          <t>L5 Memory</t>
        </is>
      </c>
      <c r="G13" s="4" t="inlineStr">
        <is>
          <t>Memory: Deliberately little: a versioned glossary and style rules per fund, changed only by an approved pull request, recalled by version hash.</t>
        </is>
      </c>
      <c r="H13" s="4" t="inlineStr">
        <is>
          <t>Post 10 (Regulated reality, Week 5). **Bridge:** Memory is where governance gets personal (erasure, retention, reproducibility); the control post steps back to the regulations that frame all of it.</t>
        </is>
      </c>
      <c r="I13" s="4" t="inlineStr">
        <is>
          <t>What an agent remembers is a governance question before it is a technical one, which is why memory comes last.</t>
        </is>
      </c>
      <c r="J13" s="4" t="inlineStr">
        <is>
          <t>Memory is the layer I would build last, on purpose. What an agent remembers is a governance question before it is a technical one, and it is the layer I would build last.</t>
        </is>
      </c>
      <c r="K13" s="4" t="n">
        <v>267</v>
      </c>
      <c r="L13" s="4" t="inlineStr">
        <is>
          <t>#AgentMemory #DataProtection</t>
        </is>
      </c>
      <c r="M13" s="4" t="inlineStr">
        <is>
          <t>The build-order roadmap (plan §12.6) as a horizontal timeline: governance → evaluation and observability → model access (gateway first) → retrieval → workflows → tools → **memory** (highlighted) → optimisation. Inset: a memory write path with a policy gate (DLP screen, allow-list, approval), a subject index and a "forget-by-subject" arrow reaching store, vectors, revisions and backups. Source: L5 §5.9 and §5.12.</t>
        </is>
      </c>
      <c r="N13" s="4" t="inlineStr">
        <is>
          <t>- ICO guidance (under review following the Data (Use and Access) Act) - Memory product defaults (TTL and pruning) and LangMem release status</t>
        </is>
      </c>
      <c r="O13" s="4" t="inlineStr">
        <is>
          <t>Draft</t>
        </is>
      </c>
      <c r="P13" s="4" t="inlineStr">
        <is>
          <t>Not required (CP4b)</t>
        </is>
      </c>
      <c r="Q13" s="4" t="inlineStr"/>
      <c r="R13" s="4" t="inlineStr"/>
      <c r="S13" s="4" t="inlineStr">
        <is>
          <t>07_LinkedIn/LinkedIn_Series.docx, Post 9 · visual 08_Graphic/linkedin/P09.png</t>
        </is>
      </c>
    </row>
    <row r="14">
      <c r="A14" s="4" t="n">
        <v>10</v>
      </c>
      <c r="B14" s="4" t="n">
        <v>5</v>
      </c>
      <c r="C14" s="4" t="inlineStr">
        <is>
          <t>Control post</t>
        </is>
      </c>
      <c r="D14" s="5">
        <f>IF($E$1="","",$E$1+30)</f>
        <v/>
      </c>
      <c r="E14" s="4" t="inlineStr">
        <is>
          <t>08:00</t>
        </is>
      </c>
      <c r="F14" s="4" t="inlineStr">
        <is>
          <t>Regulated reality: EU AI Act and DORA</t>
        </is>
      </c>
      <c r="G14" s="4" t="inlineStr">
        <is>
          <t>Regulation: The regulatory mapping: not an Annex III use; transparency and literacy duties; model vendors as material outsourcing with exit plans; the agent recorded in the model inventory.</t>
        </is>
      </c>
      <c r="H14" s="4" t="inlineStr">
        <is>
          <t>Post 9 (L5, Week 5). **Bridge:** Halfway through the layers, the regulatory frame explains why multi-vendor design and retained evidence stop being optional.</t>
        </is>
      </c>
      <c r="I14" s="4" t="inlineStr">
        <is>
          <t>Concentration risk turns multi-vendor from a preference into a requirement.</t>
        </is>
      </c>
      <c r="J14" s="4" t="inlineStr">
        <is>
          <t>Concentration risk is turning multi-vendor AI from a preference into something close to a requirement.</t>
        </is>
      </c>
      <c r="K14" s="4" t="n">
        <v>267</v>
      </c>
      <c r="L14" s="4" t="inlineStr">
        <is>
          <t>#EUAIAct #DORA</t>
        </is>
      </c>
      <c r="M14" s="4" t="inlineStr">
        <is>
          <t>A timeline from April 2026 to December 2027: 17 Apr 2026 SR 26-2 (GenAI out of scope); 13 Jul 2026 UK CTP designations in force; 2 Aug 2026 GPAI enforcement and Article 50 transparency; 18 Mar 2027 UK material third-party notifications; 2 Dec 2027 EU AI Act Annex III. Beneath it, a two-column panel: "designated for direct oversight: hyperscalers and infrastructure" versus "not designated: model vendors (oversight rests on the firm)". Source: regulatory_facts.json and C8 §C8.11.</t>
        </is>
      </c>
      <c r="N14" s="4" t="inlineStr">
        <is>
          <t>- Any update to the DORA CTPP list or new UK CTP designations (especially any model vendor) - Whether the US agencies' AI request for information has been published - EU AI Act dates (any further Omnibus changes) and the PS7/26 effective date - "For most asset-management uses, today's live duties are literacy and transparency" is a judgement; keep it phrased as such</t>
        </is>
      </c>
      <c r="O14" s="4" t="inlineStr">
        <is>
          <t>Draft</t>
        </is>
      </c>
      <c r="P14" s="4" t="inlineStr">
        <is>
          <t>Not required (CP4b)</t>
        </is>
      </c>
      <c r="Q14" s="4" t="inlineStr"/>
      <c r="R14" s="4" t="inlineStr"/>
      <c r="S14" s="4" t="inlineStr">
        <is>
          <t>07_LinkedIn/LinkedIn_Series.docx, Post 10 · visual 08_Graphic/linkedin/P10.png</t>
        </is>
      </c>
    </row>
    <row r="15">
      <c r="A15" s="4" t="n">
        <v>11</v>
      </c>
      <c r="B15" s="4" t="n">
        <v>6</v>
      </c>
      <c r="C15" s="4" t="inlineStr">
        <is>
          <t>Stack post</t>
        </is>
      </c>
      <c r="D15" s="5">
        <f>IF($E$1="","",$E$1+35)</f>
        <v/>
      </c>
      <c r="E15" s="4" t="inlineStr">
        <is>
          <t>08:00</t>
        </is>
      </c>
      <c r="F15" s="4" t="inlineStr">
        <is>
          <t>L6 Retrieval and knowledge stores</t>
        </is>
      </c>
      <c r="G15" s="4" t="inlineStr">
        <is>
          <t>Retrieval store: One store already run by the firm, with three collections (prior commentaries, style guide, approved market notes) and fund-level entitlement filters applied inside the search.</t>
        </is>
      </c>
      <c r="H15" s="4" t="inlineStr">
        <is>
          <t>Post 12 (C7, Week 6). **Bridge:** The stack post is about retrieving the right passages under real permissions; the control post is about the passages someone else wrote for you.</t>
        </is>
      </c>
      <c r="I15" s="4" t="inlineStr">
        <is>
          <t>You may not need a vector database, but you do need retrieval you can measure.</t>
        </is>
      </c>
      <c r="J15" s="4" t="inlineStr">
        <is>
          <t>You may not need a vector database. You do need retrieval you can measure.</t>
        </is>
      </c>
      <c r="K15" s="4" t="n">
        <v>244</v>
      </c>
      <c r="L15" s="4" t="inlineStr">
        <is>
          <t>#VectorSearch #RAG</t>
        </is>
      </c>
      <c r="M15" s="4" t="inlineStr">
        <is>
          <t>Decision-tree graphic (L6 §6.9): Step 0 non-negotiables (filters inside the search, no unfiltered fallback, rebuild tested) → Step 1 "use what you run" (relational database, search engine, document database, object-store tier) → Step 2 three triggers → Step 3 dedicated engine. A side panel contrasts "filter after ranking + fallback = leakage" with "filter inside search + hard empty result".</t>
        </is>
      </c>
      <c r="N15" s="4" t="inlineStr">
        <is>
          <t>- pgvector version and any new CVEs - Pinecone Nexus and Weaviate licence status</t>
        </is>
      </c>
      <c r="O15" s="4" t="inlineStr">
        <is>
          <t>Draft</t>
        </is>
      </c>
      <c r="P15" s="4" t="inlineStr">
        <is>
          <t>Not required (CP4b)</t>
        </is>
      </c>
      <c r="Q15" s="4" t="inlineStr"/>
      <c r="R15" s="4" t="inlineStr"/>
      <c r="S15" s="4" t="inlineStr">
        <is>
          <t>07_LinkedIn/LinkedIn_Series.docx, Post 11 · visual 08_Graphic/linkedin/P11.png</t>
        </is>
      </c>
    </row>
    <row r="16">
      <c r="A16" s="4" t="n">
        <v>12</v>
      </c>
      <c r="B16" s="4" t="n">
        <v>6</v>
      </c>
      <c r="C16" s="4" t="inlineStr">
        <is>
          <t>Control post</t>
        </is>
      </c>
      <c r="D16" s="5">
        <f>IF($E$1="","",$E$1+37)</f>
        <v/>
      </c>
      <c r="E16" s="4" t="inlineStr">
        <is>
          <t>08:00</t>
        </is>
      </c>
      <c r="F16" s="4" t="inlineStr">
        <is>
          <t>C7 AI security</t>
        </is>
      </c>
      <c r="G16" s="4" t="inlineStr">
        <is>
          <t>AI security: Defence in depth against a poisoned market note: nothing to hijack, numbers that cannot be rewritten, retrieved text marked as data, chunk screening, canary documents and human approval.</t>
        </is>
      </c>
      <c r="H16" s="4" t="inlineStr">
        <is>
          <t>Post 11 (L6, Week 6). **Bridge:** Retrieval brings back passages; some were written by someone who wants your agent to act on them.</t>
        </is>
      </c>
      <c r="I16" s="4" t="inlineStr">
        <is>
          <t>Every retrieved document is untrusted input. Indirect prompt injection is a supply-chain problem.</t>
        </is>
      </c>
      <c r="J16" s="4" t="inlineStr">
        <is>
          <t>A language model follows instructions it finds in any text it reads. Give it tools, and those instructions become actions.</t>
        </is>
      </c>
      <c r="K16" s="4" t="n">
        <v>264</v>
      </c>
      <c r="L16" s="4" t="inlineStr">
        <is>
          <t>#AISecurity #PromptInjection</t>
        </is>
      </c>
      <c r="M16" s="4" t="inlineStr">
        <is>
          <t>Venn diagram with three circles: untrusted input, sensitive data, outbound channel. The centre is marked "never in one agent". Around it, a defence-in-depth ring for the worked example: deterministic workflow, numeric check, data marking, chunk screening, canary documents, human approval. Source: C7 §C7.9 step 0 and §C7.12.</t>
        </is>
      </c>
      <c r="N16" s="4" t="inlineStr">
        <is>
          <t>- Any new findings on the March 2026 package compromise (intrusion vector is reported two ways) - Acquisition statuses in the security list</t>
        </is>
      </c>
      <c r="O16" s="4" t="inlineStr">
        <is>
          <t>Draft</t>
        </is>
      </c>
      <c r="P16" s="4" t="inlineStr">
        <is>
          <t>Not required (CP4b)</t>
        </is>
      </c>
      <c r="Q16" s="4" t="inlineStr"/>
      <c r="R16" s="4" t="inlineStr"/>
      <c r="S16" s="4" t="inlineStr">
        <is>
          <t>07_LinkedIn/LinkedIn_Series.docx, Post 12 · visual 08_Graphic/linkedin/P12.png</t>
        </is>
      </c>
    </row>
    <row r="17">
      <c r="A17" s="4" t="n">
        <v>13</v>
      </c>
      <c r="B17" s="4" t="n">
        <v>7</v>
      </c>
      <c r="C17" s="4" t="inlineStr">
        <is>
          <t>Stack post</t>
        </is>
      </c>
      <c r="D17" s="5">
        <f>IF($E$1="","",$E$1+42)</f>
        <v/>
      </c>
      <c r="E17" s="4" t="inlineStr">
        <is>
          <t>08:00</t>
        </is>
      </c>
      <c r="F17" s="4" t="inlineStr">
        <is>
          <t>L7 Embeddings and reranking</t>
        </is>
      </c>
      <c r="G17" s="4" t="inlineStr">
        <is>
          <t>Retrieval quality: Two-stage retrieval of comparable past commentary (embed and rerank), with both model versions pinned and tagged on every vector.</t>
        </is>
      </c>
      <c r="H17" s="4" t="inlineStr">
        <is>
          <t>Post 14 (C5, Week 7). **Bridge:** The stack post ends on "the embedding version is production configuration"; the control post extends that to prompts and every other setting that changes outputs.</t>
        </is>
      </c>
      <c r="I17" s="4" t="inlineStr">
        <is>
          <t>Retrieval quality is a two-stage problem, and it is easy to tune only one stage.</t>
        </is>
      </c>
      <c r="J17" s="4" t="inlineStr">
        <is>
          <t>Retrieval quality is a two-stage problem, and it is easy to tune only one stage.</t>
        </is>
      </c>
      <c r="K17" s="4" t="n">
        <v>246</v>
      </c>
      <c r="L17" s="4" t="inlineStr">
        <is>
          <t>#InformationRetrieval #RAG</t>
        </is>
      </c>
      <c r="M17" s="4" t="inlineStr">
        <is>
          <t>Funnel diagram: "corpus → stage 1 (embed, k = 50–100, measure recall@k) → stage 2 (rerank, measure nDCG@10) → top passages to the model". Below it, a small "version tag" icon on each vector and a two-index migration strip (old index live, new index shadow, regression gate, cut-over). Source: L7 §7.3 and §7.9 step 6.</t>
        </is>
      </c>
      <c r="N17" s="4" t="inlineStr">
        <is>
          <t>- "Every vendor except OpenAI offers both" (check for a new OpenAI reranker) - Current model versions if any are named in replies</t>
        </is>
      </c>
      <c r="O17" s="4" t="inlineStr">
        <is>
          <t>Draft</t>
        </is>
      </c>
      <c r="P17" s="4" t="inlineStr">
        <is>
          <t>Not required (CP4b)</t>
        </is>
      </c>
      <c r="Q17" s="4" t="inlineStr"/>
      <c r="R17" s="4" t="inlineStr"/>
      <c r="S17" s="4" t="inlineStr">
        <is>
          <t>07_LinkedIn/LinkedIn_Series.docx, Post 13 · visual 08_Graphic/linkedin/P13.png</t>
        </is>
      </c>
    </row>
    <row r="18">
      <c r="A18" s="4" t="n">
        <v>14</v>
      </c>
      <c r="B18" s="4" t="n">
        <v>7</v>
      </c>
      <c r="C18" s="4" t="inlineStr">
        <is>
          <t>Control post</t>
        </is>
      </c>
      <c r="D18" s="5">
        <f>IF($E$1="","",$E$1+44)</f>
        <v/>
      </c>
      <c r="E18" s="4" t="inlineStr">
        <is>
          <t>08:00</t>
        </is>
      </c>
      <c r="F18" s="4" t="inlineStr">
        <is>
          <t>C5 Prompt and configuration management</t>
        </is>
      </c>
      <c r="G18" s="4" t="inlineStr">
        <is>
          <t>Configuration: A release manifest per monthly cycle (prompt set, model pins, retrieval settings, tool list, guard policy, eval thresholds), approved by pull request with a second approver and gated by the eval suite.</t>
        </is>
      </c>
      <c r="H18" s="4" t="inlineStr">
        <is>
          <t>Post 13 (L7, Week 7). **Bridge:** If the embedding version is production configuration, so is the prompt, and both need versioning, review and rollback.</t>
        </is>
      </c>
      <c r="I18" s="4" t="inlineStr">
        <is>
          <t>Embedding versions and prompts are both production configuration, so they need versioning, review and rollback.</t>
        </is>
      </c>
      <c r="J18" s="4" t="inlineStr">
        <is>
          <t>A one-sentence edit to a prompt can change outputs as much as a model upgrade. Few organisations would let a model upgrade ship without review. Many let prompts change in a web console.</t>
        </is>
      </c>
      <c r="K18" s="4" t="n">
        <v>252</v>
      </c>
      <c r="L18" s="4" t="inlineStr">
        <is>
          <t>#LLMOps #ChangeManagement</t>
        </is>
      </c>
      <c r="M18" s="4" t="inlineStr">
        <is>
          <t>A "release manifest" card for the worked example (illustrative values): prompt set version, drafting model pinned to a dated version, fallback model, embedding and reranker versions, top-k, read-only tool list, guardrail policy version, eval threshold set. Arrows show pull request → second approver → eval gate → tagged release → registry label → trace stamped with version. Source: C5 §C5.12.</t>
        </is>
      </c>
      <c r="N18" s="4" t="inlineStr">
        <is>
          <t>- LaunchDarkly product name (AgentControl) - Langfuse and Promptfoo ownership status</t>
        </is>
      </c>
      <c r="O18" s="4" t="inlineStr">
        <is>
          <t>Draft</t>
        </is>
      </c>
      <c r="P18" s="4" t="inlineStr">
        <is>
          <t>Not required (CP4b)</t>
        </is>
      </c>
      <c r="Q18" s="4" t="inlineStr"/>
      <c r="R18" s="4" t="inlineStr"/>
      <c r="S18" s="4" t="inlineStr">
        <is>
          <t>07_LinkedIn/LinkedIn_Series.docx, Post 14 · visual 08_Graphic/linkedin/P14.png</t>
        </is>
      </c>
    </row>
    <row r="19">
      <c r="A19" s="4" t="n">
        <v>15</v>
      </c>
      <c r="B19" s="4" t="n">
        <v>8</v>
      </c>
      <c r="C19" s="4" t="inlineStr">
        <is>
          <t>Stack post</t>
        </is>
      </c>
      <c r="D19" s="5">
        <f>IF($E$1="","",$E$1+49)</f>
        <v/>
      </c>
      <c r="E19" s="4" t="inlineStr">
        <is>
          <t>08:00</t>
        </is>
      </c>
      <c r="F19" s="4" t="inlineStr">
        <is>
          <t>L8 Data extraction and ingestion</t>
        </is>
      </c>
      <c r="G19" s="4" t="inlineStr">
        <is>
          <t>Ingestion: Three corpora ingested under a control envelope: dual-parsed factsheet tables reconciled to the engine, prior commentaries with their permissions, and market notes from the approved register only.</t>
        </is>
      </c>
      <c r="H19" s="4" t="inlineStr">
        <is>
          <t>Post 16 (C3, Week 8). **Bridge:** The stack post shows that quality is decided at ingestion; the control post shows that residency and privacy are decided there too.</t>
        </is>
      </c>
      <c r="I19" s="4" t="inlineStr">
        <is>
          <t>Some of the most convincing "hallucinations" in enterprise retrieval start in a PDF table parser, not in the model.</t>
        </is>
      </c>
      <c r="J19" s="4" t="inlineStr">
        <is>
          <t>Some of the most convincing "hallucinations" in enterprise retrieval systems are not the model's fault. They start in a table parser.</t>
        </is>
      </c>
      <c r="K19" s="4" t="n">
        <v>236</v>
      </c>
      <c r="L19" s="4" t="inlineStr">
        <is>
          <t>#RAG #DataQuality</t>
        </is>
      </c>
      <c r="M19" s="4" t="inlineStr">
        <is>
          <t>Pipeline diagram: source register → acquisition → classification/DLP → parser (drawn as a swappable cartridge) → "metadata envelope" stamped on each chunk (source, version, ACL, classification, parser manifest, lineage ID) → index gate ("no envelope, no index"). A red side-path shows "parsed numbers = context only"; a green path shows "authoritative figures via read-only tool". Source: L8 §8.9 and the six-component control plane in §8.13.</t>
        </is>
      </c>
      <c r="N19" s="4" t="inlineStr">
        <is>
          <t>- "Ten products assessed; only one carries ACL metadata; none emits lineage" (check for new lineage features) - Mistral OCR and Docling version status if mentioned in replies</t>
        </is>
      </c>
      <c r="O19" s="4" t="inlineStr">
        <is>
          <t>Draft</t>
        </is>
      </c>
      <c r="P19" s="4" t="inlineStr">
        <is>
          <t>Not required (CP4b)</t>
        </is>
      </c>
      <c r="Q19" s="4" t="inlineStr"/>
      <c r="R19" s="4" t="inlineStr"/>
      <c r="S19" s="4" t="inlineStr">
        <is>
          <t>07_LinkedIn/LinkedIn_Series.docx, Post 15 · visual 08_Graphic/linkedin/P15.png</t>
        </is>
      </c>
    </row>
    <row r="20">
      <c r="A20" s="4" t="n">
        <v>16</v>
      </c>
      <c r="B20" s="4" t="n">
        <v>8</v>
      </c>
      <c r="C20" s="4" t="inlineStr">
        <is>
          <t>Control post</t>
        </is>
      </c>
      <c r="D20" s="5">
        <f>IF($E$1="","",$E$1+51)</f>
        <v/>
      </c>
      <c r="E20" s="4" t="inlineStr">
        <is>
          <t>08:00</t>
        </is>
      </c>
      <c r="F20" s="4" t="inlineStr">
        <is>
          <t>C3 DLP and PII protection</t>
        </is>
      </c>
      <c r="G20" s="4" t="inlineStr">
        <is>
          <t>Privacy: One privacy service called at six points: client names and mandates tokenised before any model call, detected again in output, re-identified only for the reviewing manager.</t>
        </is>
      </c>
      <c r="H20" s="4" t="inlineStr">
        <is>
          <t>Post 15 (L8, Week 8). **Bridge:** If quality is decided at ingestion, so are residency and privacy; a filter at the prompt arrives too late.</t>
        </is>
      </c>
      <c r="I20" s="4" t="inlineStr">
        <is>
          <t>Data residency and PII decisions are made at ingestion, not at the prompt.</t>
        </is>
      </c>
      <c r="J20" s="4" t="inlineStr">
        <is>
          <t>One analyst question can place the same client identifier in seven places: a prompt, a retrieved chunk, a tool result, a provider's processing region, a trace store, an evaluation dataset and a memory record.</t>
        </is>
      </c>
      <c r="K20" s="4" t="n">
        <v>252</v>
      </c>
      <c r="L20" s="4" t="inlineStr">
        <is>
          <t>#DataProtection #PrivacyEngineering</t>
        </is>
      </c>
      <c r="M20" s="4" t="inlineStr">
        <is>
          <t>"Seven copies" diagram: one client identifier at the centre with arrows to seven stores (prompt, chunk, tool result, provider region, trace store, eval set, memory). Overlay six numbered enforcement points (E1 ingestion to E6 trace export) all calling one "privacy service" box. Inset: a draft showing CLIENT_A / MANDATE_1 placeholders instead of names. Source: C3 §C3.2, §C3.9 step 0, §C3.12.</t>
        </is>
      </c>
      <c r="N20" s="4" t="inlineStr">
        <is>
          <t>- Status of the DPF appeal C-703/25 P - Presidio governance and licence - Purview DSPM licensing statement</t>
        </is>
      </c>
      <c r="O20" s="4" t="inlineStr">
        <is>
          <t>Draft</t>
        </is>
      </c>
      <c r="P20" s="4" t="inlineStr">
        <is>
          <t>Not required (CP4b)</t>
        </is>
      </c>
      <c r="Q20" s="4" t="inlineStr"/>
      <c r="R20" s="4" t="inlineStr"/>
      <c r="S20" s="4" t="inlineStr">
        <is>
          <t>07_LinkedIn/LinkedIn_Series.docx, Post 16 · visual 08_Graphic/linkedin/P16.png</t>
        </is>
      </c>
    </row>
    <row r="21">
      <c r="A21" s="4" t="n">
        <v>17</v>
      </c>
      <c r="B21" s="4" t="n">
        <v>9</v>
      </c>
      <c r="C21" s="4" t="inlineStr">
        <is>
          <t>Stack post</t>
        </is>
      </c>
      <c r="D21" s="5">
        <f>IF($E$1="","",$E$1+56)</f>
        <v/>
      </c>
      <c r="E21" s="4" t="inlineStr">
        <is>
          <t>08:00</t>
        </is>
      </c>
      <c r="F21" s="4" t="inlineStr">
        <is>
          <t>L9 Evaluation and observability</t>
        </is>
      </c>
      <c r="G21" s="4" t="inlineStr">
        <is>
          <t>Evaluation: The evaluation plane: numeric faithfulness (blocking), groundedness, style, trajectory, and a regression suite of 24 to 36 months of approved commentaries, all on one firm-owned telemetry spine.</t>
        </is>
      </c>
      <c r="H21" s="4" t="inlineStr">
        <is>
          <t>Post 18 (C8, Week 9). **Bridge:** The stack post argues that evaluation must exist from day one; the control post shows that the same eval suite, run independently and kept, is the validation evidence a model-risk function needs.</t>
        </is>
      </c>
      <c r="I21" s="4" t="inlineStr">
        <is>
          <t>The layer that ages slowest is the one most teams build last, and evals added after go-live measure the damage, not the quality.</t>
        </is>
      </c>
      <c r="J21" s="4" t="inlineStr">
        <is>
          <t>Most diagrams of the AI stack put evaluation in the last box. It is the layer that ages slowest — and the one most teams build last.</t>
        </is>
      </c>
      <c r="K21" s="4" t="n">
        <v>261</v>
      </c>
      <c r="L21" s="4" t="inlineStr">
        <is>
          <t>#AIEvaluation #LLMOps</t>
        </is>
      </c>
      <c r="M21" s="4" t="inlineStr">
        <is>
          <t>Two-panel diagram. Left: the popular nine-layer stack diagram with "Evals and observability" as the last box. Right: the same stack with evaluation and observability redrawn as a vertical plane running alongside every layer, labelled "firm-owned telemetry and evidence spine", with products drawn as replaceable plug-ins. A small callout shows the one metric: "Numeric faithfulness: 100%, any miss blocks." Source: L9 §9.13 and the H8 provisional view.</t>
        </is>
      </c>
      <c r="N21" s="4" t="inlineStr">
        <is>
          <t>- Arize/Dynatrace completion and the Langfuse/ClickHouse status - Whether OpenAI's Promptfoo acquisition has closed - OpenTelemetry GenAI conventions still at "Development" - The "five of the eleven" count, against the final L9 table</t>
        </is>
      </c>
      <c r="O21" s="4" t="inlineStr">
        <is>
          <t>Draft</t>
        </is>
      </c>
      <c r="P21" s="4" t="inlineStr">
        <is>
          <t>Not required (CP4b)</t>
        </is>
      </c>
      <c r="Q21" s="4" t="inlineStr"/>
      <c r="R21" s="4" t="inlineStr"/>
      <c r="S21" s="4" t="inlineStr">
        <is>
          <t>07_LinkedIn/LinkedIn_Series.docx, Post 17 · visual 08_Graphic/linkedin/P17.png</t>
        </is>
      </c>
    </row>
    <row r="22">
      <c r="A22" s="4" t="n">
        <v>18</v>
      </c>
      <c r="B22" s="4" t="n">
        <v>9</v>
      </c>
      <c r="C22" s="4" t="inlineStr">
        <is>
          <t>Control post</t>
        </is>
      </c>
      <c r="D22" s="5">
        <f>IF($E$1="","",$E$1+58)</f>
        <v/>
      </c>
      <c r="E22" s="4" t="inlineStr">
        <is>
          <t>08:00</t>
        </is>
      </c>
      <c r="F22" s="4" t="inlineStr">
        <is>
          <t>C8 Model risk, governance and audit</t>
        </is>
      </c>
      <c r="G22" s="4" t="inlineStr">
        <is>
          <t>Governance: The inventory entry for the use case and an evidence pack per approved commentary, keyed by one trace ID, written to an immutable archive.</t>
        </is>
      </c>
      <c r="H22" s="4" t="inlineStr">
        <is>
          <t>Post 17 (L9, Week 9). **Bridge:** The stack post's eval suite becomes the control post's validation evidence, but only if someone independent challenges it, it is versioned, and it is retained.</t>
        </is>
      </c>
      <c r="I22" s="4" t="inlineStr">
        <is>
          <t>Your eval suite *is* your validation evidence. What model-risk discipline means when the "model" is an agent and the main US guidance has stepped aside.</t>
        </is>
      </c>
      <c r="J22" s="4" t="inlineStr">
        <is>
          <t>In April, the US supervisory guidance that had shaped model risk management since 2011 was replaced. Its successor, SR 26-2, places generative and agentic AI expressly outside its scope.</t>
        </is>
      </c>
      <c r="K22" s="4" t="n">
        <v>257</v>
      </c>
      <c r="L22" s="4" t="inlineStr">
        <is>
          <t>#ModelRisk #AIGovernance</t>
        </is>
      </c>
      <c r="M22" s="4" t="inlineStr">
        <is>
          <t>One-page "evidence pack" graphic for the worked example: eight tiles (prompt version, model version, data snapshot, tool calls, eval results, approver identity, timestamps, final output), all keyed to one trace ID and feeding an immutable archive. A side panel shows "governed unit = use case" with the model as a vendor component. Source: C8 §C8.12.</t>
        </is>
      </c>
      <c r="N22" s="4" t="inlineStr">
        <is>
          <t>- SR 26-2 status, and whether the agencies' AI/GenAI request for information has been published (update the post if it has) - SS1/23 scope statements - Collibra–trail ML completion</t>
        </is>
      </c>
      <c r="O22" s="4" t="inlineStr">
        <is>
          <t>Draft</t>
        </is>
      </c>
      <c r="P22" s="4" t="inlineStr">
        <is>
          <t>Not required (CP4b)</t>
        </is>
      </c>
      <c r="Q22" s="4" t="inlineStr"/>
      <c r="R22" s="4" t="inlineStr"/>
      <c r="S22" s="4" t="inlineStr">
        <is>
          <t>07_LinkedIn/LinkedIn_Series.docx, Post 18 · visual 08_Graphic/linkedin/P18.png</t>
        </is>
      </c>
    </row>
    <row r="23">
      <c r="A23" s="4" t="n">
        <v>19</v>
      </c>
      <c r="B23" s="4" t="n">
        <v>10</v>
      </c>
      <c r="C23" s="4" t="inlineStr">
        <is>
          <t>Stack post</t>
        </is>
      </c>
      <c r="D23" s="5">
        <f>IF($E$1="","",$E$1+63)</f>
        <v/>
      </c>
      <c r="E23" s="4" t="inlineStr">
        <is>
          <t>08:00</t>
        </is>
      </c>
      <c r="F23" s="4" t="inlineStr">
        <is>
          <t>The worked example, end to end</t>
        </is>
      </c>
      <c r="G23" s="4" t="inlineStr">
        <is>
          <t>Assembled: All eighteen pieces assembled into one request trace, with a 'may / must never' list in which every 'never' names the component that enforces it.</t>
        </is>
      </c>
      <c r="H23" s="4" t="inlineStr">
        <is>
          <t>Post 20 (Start small, Week 10). **Bridge:** The stack post shows the full worked example and its "never" list; the control post shows the minimum platform needed to run it, and what to leave out.</t>
        </is>
      </c>
      <c r="I23" s="4" t="inlineStr">
        <is>
          <t>What the attribution-commentary agent must never do matters more than what it can do.</t>
        </is>
      </c>
      <c r="J23" s="4" t="inlineStr">
        <is>
          <t>For nine weeks one example has run underneath this series: an agent that drafts the monthly performance-attribution commentary for a multi-asset fund, with a portfolio manager approving every draft. It is generic and illustrative. Here it is in one place.</t>
        </is>
      </c>
      <c r="K23" s="4" t="n">
        <v>265</v>
      </c>
      <c r="L23" s="4" t="inlineStr">
        <is>
          <t>#AgenticAI #AIGovernance</t>
        </is>
      </c>
      <c r="M23" s="4" t="inlineStr">
        <is>
          <t>Two-column "may / must never" table for the worked example. Each "never" row has its enforcing component in a coloured chip (read-only tool, numeric comparator, approval interrupt, allow-list, tokenisation, entitlement filter, version pin). Beneath it, the eight-tile evidence pack keyed to one trace ID. Source: synthesis VI.3 and VI.4. Label: "generic, illustrative".</t>
        </is>
      </c>
      <c r="N23" s="4" t="inlineStr">
        <is>
          <t>- No product or regulatory facts in the body. Check that the first comment's per-cloud examples match the final document.</t>
        </is>
      </c>
      <c r="O23" s="4" t="inlineStr">
        <is>
          <t>Draft</t>
        </is>
      </c>
      <c r="P23" s="4" t="inlineStr">
        <is>
          <t>Not required (CP4b)</t>
        </is>
      </c>
      <c r="Q23" s="4" t="inlineStr"/>
      <c r="R23" s="4" t="inlineStr"/>
      <c r="S23" s="4" t="inlineStr">
        <is>
          <t>07_LinkedIn/LinkedIn_Series.docx, Post 19 · visual 08_Graphic/linkedin/P19.png</t>
        </is>
      </c>
    </row>
    <row r="24">
      <c r="A24" s="4" t="n">
        <v>20</v>
      </c>
      <c r="B24" s="4" t="n">
        <v>10</v>
      </c>
      <c r="C24" s="4" t="inlineStr">
        <is>
          <t>Control post</t>
        </is>
      </c>
      <c r="D24" s="5">
        <f>IF($E$1="","",$E$1+65)</f>
        <v/>
      </c>
      <c r="E24" s="4" t="inlineStr">
        <is>
          <t>08:00</t>
        </is>
      </c>
      <c r="F24" s="4" t="inlineStr">
        <is>
          <t>Start small</t>
        </is>
      </c>
      <c r="G24" s="4" t="inlineStr">
        <is>
          <t>Minimum go-live: The build order for real: governance and evaluation first, then the gateway, retrieval, the workflow and one read-only tool; memory and everything on the 'not yet' list waits for evidence.</t>
        </is>
      </c>
      <c r="H24" s="4" t="inlineStr">
        <is>
          <t>Post 19 (Worked example, Week 10). **Bridge:** The stack post's agent needs a platform; the control post argues that the minimum platform, plus a published "not yet" list, is the right first release.</t>
        </is>
      </c>
      <c r="I24" s="4" t="inlineStr">
        <is>
          <t>The most valuable part of a reference architecture is the "do not build yet" list.</t>
        </is>
      </c>
      <c r="J24" s="4" t="inlineStr">
        <is>
          <t>The most valuable page in a reference architecture is often the "do not build yet" list.</t>
        </is>
      </c>
      <c r="K24" s="4" t="n">
        <v>264</v>
      </c>
      <c r="L24" s="4" t="inlineStr">
        <is>
          <t>#EnterpriseArchitecture #AgenticAI</t>
        </is>
      </c>
      <c r="M24" s="4" t="inlineStr">
        <is>
          <t>Two panels. Left, "Build now": the Stack D minimum as a compact stack (gateway ×2, identity, manifest, checks, eval suite, one store, one workflow, two models). Right, "Do NOT build yet": the not-yet items as greyed-out tiles, each with a one-word trigger for revisiting it ("evidence", "load test", "use case"). Source: synthesis Part VII, Stack D.</t>
        </is>
      </c>
      <c r="N24" s="4" t="inlineStr">
        <is>
          <t>- The not-yet list against the final Part VII and the Part XI tiers (anything promoted from Experimental)</t>
        </is>
      </c>
      <c r="O24" s="4" t="inlineStr">
        <is>
          <t>Draft</t>
        </is>
      </c>
      <c r="P24" s="4" t="inlineStr">
        <is>
          <t>Not required (CP4b)</t>
        </is>
      </c>
      <c r="Q24" s="4" t="inlineStr"/>
      <c r="R24" s="4" t="inlineStr"/>
      <c r="S24" s="4" t="inlineStr">
        <is>
          <t>07_LinkedIn/LinkedIn_Series.docx, Post 20 · visual 08_Graphic/linkedin/P20.png</t>
        </is>
      </c>
    </row>
    <row r="25">
      <c r="A25" s="4" t="n">
        <v>21</v>
      </c>
      <c r="B25" s="4" t="n">
        <v>11</v>
      </c>
      <c r="C25" s="4" t="inlineStr">
        <is>
          <t>Stack post</t>
        </is>
      </c>
      <c r="D25" s="5">
        <f>IF($E$1="","",$E$1+70)</f>
        <v/>
      </c>
      <c r="E25" s="4" t="inlineStr">
        <is>
          <t>08:00</t>
        </is>
      </c>
      <c r="F25" s="4" t="inlineStr">
        <is>
          <t>Build vs buy</t>
        </is>
      </c>
      <c r="G25" s="4" t="inlineStr">
        <is>
          <t>Build or buy: A build, hybrid or buy decision for each of the seventeen components: build the evidence store, configuration and tools; buy models, serving and security tooling; hybrid elsewhere.</t>
        </is>
      </c>
      <c r="H25" s="4" t="inlineStr">
        <is>
          <t>Post 22 (Where not to abstract, Week 11). **Bridge:** The stack post says to own a thin interface in front of what you buy; the control post warns against owning too many interfaces.</t>
        </is>
      </c>
      <c r="I25" s="4" t="inlineStr">
        <is>
          <t>Build where you differentiate, buy where you would only be maintaining.</t>
        </is>
      </c>
      <c r="J25" s="4" t="inlineStr">
        <is>
          <t>Build where you differentiate. Buy where you would only be maintaining.</t>
        </is>
      </c>
      <c r="K25" s="4" t="n">
        <v>257</v>
      </c>
      <c r="L25" s="4" t="inlineStr">
        <is>
          <t>#EnterpriseArchitecture #BuildVsBuy</t>
        </is>
      </c>
      <c r="M25" s="4" t="inlineStr">
        <is>
          <t>Three-column board, "Build · Hybrid · Buy", with the 17 layers and controls placed as cards (for example, Build: tool servers, configuration of record, evidence store; Hybrid: gateway, guardrails, privacy, evaluation, retrieval optimisation; Buy: security tooling, foundation models, serving access). A separate red card reads "Do not build yet: fine-tuning". Source: synthesis Part VIII table.</t>
        </is>
      </c>
      <c r="N25" s="4" t="inlineStr">
        <is>
          <t>- No dated facts in the body. Check the Article 25 wording if challenged ("can, in some cases").</t>
        </is>
      </c>
      <c r="O25" s="4" t="inlineStr">
        <is>
          <t>Draft</t>
        </is>
      </c>
      <c r="P25" s="4" t="inlineStr">
        <is>
          <t>Not required (CP4b)</t>
        </is>
      </c>
      <c r="Q25" s="4" t="inlineStr"/>
      <c r="R25" s="4" t="inlineStr"/>
      <c r="S25" s="4" t="inlineStr">
        <is>
          <t>07_LinkedIn/LinkedIn_Series.docx, Post 21 · visual 08_Graphic/linkedin/P21.png</t>
        </is>
      </c>
    </row>
    <row r="26">
      <c r="A26" s="4" t="n">
        <v>22</v>
      </c>
      <c r="B26" s="4" t="n">
        <v>11</v>
      </c>
      <c r="C26" s="4" t="inlineStr">
        <is>
          <t>Control post</t>
        </is>
      </c>
      <c r="D26" s="5">
        <f>IF($E$1="","",$E$1+72)</f>
        <v/>
      </c>
      <c r="E26" s="4" t="inlineStr">
        <is>
          <t>08:00</t>
        </is>
      </c>
      <c r="F26" s="4" t="inlineStr">
        <is>
          <t>Where not to abstract</t>
        </is>
      </c>
      <c r="G26" s="4" t="inlineStr">
        <is>
          <t>Thin interfaces: Thin firm-owned interfaces where switching is likely (routing contract, telemetry, datasets, privacy, retrieval) and none around the agent framework.</t>
        </is>
      </c>
      <c r="H26" s="4" t="inlineStr">
        <is>
          <t>Post 21 (Build vs buy, Week 11). **Bridge:** The stack post's thin firm-owned interfaces are the right default; the control post names where adding one is the mistake.</t>
        </is>
      </c>
      <c r="I26" s="4" t="inlineStr">
        <is>
          <t>Frameworks on top of frameworks.</t>
        </is>
      </c>
      <c r="J26" s="4" t="inlineStr">
        <is>
          <t>Abstraction is how an architecture stays reversible. Too much of it is how an architecture stops moving.</t>
        </is>
      </c>
      <c r="K26" s="4" t="n">
        <v>254</v>
      </c>
      <c r="L26" s="4" t="inlineStr">
        <is>
          <t>#SoftwareArchitecture #AgenticAI</t>
        </is>
      </c>
      <c r="M26" s="4" t="inlineStr">
        <is>
          <t>Two lists side by side. "Abstract (thin, firm-owned)": routing contract, telemetry collector, datasets, credentials, policy, retrieval interface, embed/rerank, privacy API, memory API, config fetch. "Do not over-abstract": agent frameworks, single-workflow plug-ins, plain database access, store-bundled features, vendor model extras. A small strip beneath shows "multi-vendor necessary" versus "multi-vendor only adds complexity". Source: synthesis IX.1–IX.3.</t>
        </is>
      </c>
      <c r="N26" s="4" t="inlineStr">
        <is>
          <t>- No dated facts in the body.</t>
        </is>
      </c>
      <c r="O26" s="4" t="inlineStr">
        <is>
          <t>Draft</t>
        </is>
      </c>
      <c r="P26" s="4" t="inlineStr">
        <is>
          <t>Not required (CP4b)</t>
        </is>
      </c>
      <c r="Q26" s="4" t="inlineStr"/>
      <c r="R26" s="4" t="inlineStr"/>
      <c r="S26" s="4" t="inlineStr">
        <is>
          <t>07_LinkedIn/LinkedIn_Series.docx, Post 22 · visual 08_Graphic/linkedin/P22.png</t>
        </is>
      </c>
    </row>
    <row r="27">
      <c r="A27" s="4" t="n">
        <v>23</v>
      </c>
      <c r="B27" s="4" t="n">
        <v>12</v>
      </c>
      <c r="C27" s="4" t="inlineStr">
        <is>
          <t>Stack post</t>
        </is>
      </c>
      <c r="D27" s="5">
        <f>IF($E$1="","",$E$1+77)</f>
        <v/>
      </c>
      <c r="E27" s="4" t="inlineStr">
        <is>
          <t>08:00</t>
        </is>
      </c>
      <c r="F27" s="4" t="inlineStr">
        <is>
          <t>Which lock-in is acceptable</t>
        </is>
      </c>
      <c r="G27" s="4" t="inlineStr">
        <is>
          <t>Exit tested: Lock-in accepted knowingly per component, with the firm's own records (evidence, configuration, datasets, credentials) kept out of any vendor's hands, and an index rebuild drilled.</t>
        </is>
      </c>
      <c r="H27" s="4" t="inlineStr">
        <is>
          <t>Post 24 (Close, Week 12). **Bridge:** The stack post classifies which dependencies are worth accepting; the control post applies that to the final stack: what I would select, and what I would deliberately leave out.</t>
        </is>
      </c>
      <c r="I27" s="4" t="inlineStr">
        <is>
          <t>Some lock-in is a good trade, and the skill is knowing which.</t>
        </is>
      </c>
      <c r="J27" s="4" t="inlineStr">
        <is>
          <t>Some lock-in is a good trade. The skill is knowing which.</t>
        </is>
      </c>
      <c r="K27" s="4" t="n">
        <v>257</v>
      </c>
      <c r="L27" s="4" t="inlineStr">
        <is>
          <t>#VendorRisk #EnterpriseArchitecture</t>
        </is>
      </c>
      <c r="M27" s="4" t="inlineStr">
        <is>
          <t>Heat-map table: the 17 layers and controls as rows; columns "acceptable", "manageable", "unacceptable"; each cell a short phrase from the synthesis table (vendor names removed). A highlighted band across the "unacceptable" column reads "the firm's own records: evidence, configuration, datasets, credentials". Source: synthesis IX.4.</t>
        </is>
      </c>
      <c r="N27" s="4" t="inlineStr">
        <is>
          <t>- Lock-in categories against the final Part IX.4 table - Any new ownership change in a "manageable" category</t>
        </is>
      </c>
      <c r="O27" s="4" t="inlineStr">
        <is>
          <t>Draft</t>
        </is>
      </c>
      <c r="P27" s="4" t="inlineStr">
        <is>
          <t>Not required (CP4b)</t>
        </is>
      </c>
      <c r="Q27" s="4" t="inlineStr"/>
      <c r="R27" s="4" t="inlineStr"/>
      <c r="S27" s="4" t="inlineStr">
        <is>
          <t>07_LinkedIn/LinkedIn_Series.docx, Post 23 · visual 08_Graphic/linkedin/P23.png</t>
        </is>
      </c>
    </row>
    <row r="28">
      <c r="A28" s="4" t="n">
        <v>24</v>
      </c>
      <c r="B28" s="4" t="n">
        <v>12</v>
      </c>
      <c r="C28" s="4" t="inlineStr">
        <is>
          <t>Control post</t>
        </is>
      </c>
      <c r="D28" s="5">
        <f>IF($E$1="","",$E$1+79)</f>
        <v/>
      </c>
      <c r="E28" s="4" t="inlineStr">
        <is>
          <t>08:00</t>
        </is>
      </c>
      <c r="F28" s="4" t="inlineStr">
        <is>
          <t>Close: what I'd select, and what I'd deliberately not select</t>
        </is>
      </c>
      <c r="G28" s="4" t="inlineStr">
        <is>
          <t>Signed off: The final selection: a firm-owned control and evidence plane, with replaceable components beneath it, and a published list of what was deliberately not selected.</t>
        </is>
      </c>
      <c r="H28" s="4" t="inlineStr">
        <is>
          <t>Post 23 (Which lock-in is acceptable, Week 12). **Bridge:** The stack post's lock-in classification is the filter; the control post shows what passes through it, what does not, and what leading the change actually requires.</t>
        </is>
      </c>
      <c r="I28" s="4" t="inlineStr">
        <is>
          <t>The full stack on one page, plus a lesson about leading the transformation.</t>
        </is>
      </c>
      <c r="J28" s="4" t="inlineStr">
        <is>
          <t>Twelve weeks ago this series started from a popular diagram of the AI stack. On this review, 39 of its 80 product tiles were out of date. The diagram was a catalogue. The enterprise problem is a control system.</t>
        </is>
      </c>
      <c r="K28" s="4" t="n">
        <v>269</v>
      </c>
      <c r="L28" s="4" t="inlineStr">
        <is>
          <t>#EnterpriseArchitecture #AIGovernance</t>
        </is>
      </c>
      <c r="M28" s="4" t="inlineStr">
        <is>
          <t>The one-page architecture from synthesis I.2, with vendor names removed: control plane (C1–C8 with the L9 evidence plane) across the top; agent, knowledge and model planes beneath. To the right, a short "Deliberately not selected" column with the categories from XI.5 and XI.7. Optional carousel: slide 1 the popular stack diagram with 39 tiles flagged; slide 2 the one-page architecture; slide 3 the twelve decisions; slide 4 "not selected".</t>
        </is>
      </c>
      <c r="N28" s="4" t="inlineStr">
        <is>
          <t>- The final Part XI lists (avoid and monitor), especially any item that has changed tier since October 2026 - Ownership and status changes across the products in the first comment</t>
        </is>
      </c>
      <c r="O28" s="4" t="inlineStr">
        <is>
          <t>Draft</t>
        </is>
      </c>
      <c r="P28" s="4" t="inlineStr">
        <is>
          <t>Not required (CP4b)</t>
        </is>
      </c>
      <c r="Q28" s="4" t="inlineStr"/>
      <c r="R28" s="4" t="inlineStr"/>
      <c r="S28" s="4" t="inlineStr">
        <is>
          <t>07_LinkedIn/LinkedIn_Series.docx, Post 24 · visual 08_Graphic/linkedin/P24.png</t>
        </is>
      </c>
    </row>
    <row r="29">
      <c r="A29" s="4" t="n">
        <v>25</v>
      </c>
      <c r="B29" s="4" t="n">
        <v>13</v>
      </c>
      <c r="C29" s="4" t="inlineStr">
        <is>
          <t>Views post</t>
        </is>
      </c>
      <c r="D29" s="5">
        <f>IF($E$1="","",$E$1+84)</f>
        <v/>
      </c>
      <c r="E29" s="4" t="inlineStr">
        <is>
          <t>08:00</t>
        </is>
      </c>
      <c r="F29" s="4" t="inlineStr">
        <is>
          <t>One stack, seven lenses: who builds it, runs it or sells into it</t>
        </is>
      </c>
      <c r="G29" s="4" t="inlineStr"/>
      <c r="H29" s="4" t="inlineStr">
        <is>
          <t>Post 26 (TS, Week 13). **Bridge:** The opener names the seven lenses and what each weights most; the next post takes the first of them, the company that runs GenAI inside a service its customers pay for.</t>
        </is>
      </c>
      <c r="I29" s="4" t="inlineStr">
        <is>
          <t>Same stack, different owner of the control plane, and that is what changes the advice.</t>
        </is>
      </c>
      <c r="J29" s="4" t="inlineStr">
        <is>
          <t>If you build GenAI into what you sell, run it for customers, or sell into someone else's stack, the next eight posts are for you.</t>
        </is>
      </c>
      <c r="K29" s="4" t="n">
        <v>269</v>
      </c>
      <c r="L29" s="4" t="inlineStr">
        <is>
          <t>#GenerativeAI #EnterpriseArchitecture</t>
        </is>
      </c>
      <c r="M29" s="4" t="inlineStr">
        <is>
          <t>The seven views on one card: one row each for FS, TS, SW, SU, AT, DV and AG, in that order, with who it is for in a few words, the eight criterion weights as a compact grid (the heaviest per row in gold), the role the reader plays (deployer, operator, manufacturer, supplier) and core candidates of 138. Source: `views.json` and §3 of Parts XIII–XVIII.</t>
        </is>
      </c>
      <c r="N29" s="4" t="inlineStr">
        <is>
          <t>- Weights and core-candidate counts against the published `05_Data/views.xlsx` (they change if the scores are refreshed) - The PLD date and NIS2 scope wording in the first comment</t>
        </is>
      </c>
      <c r="O29" s="4" t="inlineStr">
        <is>
          <t>Draft</t>
        </is>
      </c>
      <c r="P29" s="4" t="inlineStr">
        <is>
          <t>Not required (CP4b)</t>
        </is>
      </c>
      <c r="Q29" s="4" t="inlineStr"/>
      <c r="R29" s="4" t="inlineStr"/>
      <c r="S29" s="4" t="inlineStr">
        <is>
          <t>07_LinkedIn/LinkedIn_Series.docx, Post 25 · visual 08_Graphic/linkedin/P25.png</t>
        </is>
      </c>
    </row>
    <row r="30">
      <c r="A30" s="4" t="n">
        <v>26</v>
      </c>
      <c r="B30" s="4" t="n">
        <v>13</v>
      </c>
      <c r="C30" s="4" t="inlineStr">
        <is>
          <t>Views post</t>
        </is>
      </c>
      <c r="D30" s="5">
        <f>IF($E$1="","",$E$1+86)</f>
        <v/>
      </c>
      <c r="E30" s="4" t="inlineStr">
        <is>
          <t>08:00</t>
        </is>
      </c>
      <c r="F30" s="4" t="inlineStr">
        <is>
          <t>Technology service provider: margin, uptime and tenant isolation change the defaults</t>
        </is>
      </c>
      <c r="G30" s="4" t="inlineStr"/>
      <c r="H30" s="4" t="inlineStr">
        <is>
          <t>Post 25 (the opener, Week 13). **Bridge:** The opener said the weights move with the reader; this post shows what moves when every model call is cost of goods sold and every customer shares one estate.</t>
        </is>
      </c>
      <c r="I30" s="4" t="inlineStr">
        <is>
          <t>Same plane as a bank's, but every element of it tenant-aware, metered and sold.</t>
        </is>
      </c>
      <c r="J30" s="4" t="inlineStr">
        <is>
          <t>If you run GenAI inside a service your customers pay for, this one is for you.</t>
        </is>
      </c>
      <c r="K30" s="4" t="n">
        <v>263</v>
      </c>
      <c r="L30" s="4" t="inlineStr">
        <is>
          <t>#SaaS #EnterpriseArchitecture</t>
        </is>
      </c>
      <c r="M30" s="4" t="inlineStr">
        <is>
          <t>Weights compared with the regulated-FS view (eight paired bars, FS against TS, with the change marked), then the three layers whose advice changes most, in layer order: L1 models (the second vendor becomes a live capacity route), L6 stores (tenant isolation replaces entitlement within one firm), C6 FinOps (from reporting to gross-margin control). A strip states what stays (gateway of record, day-one evaluation, approval-gated workflows, configuration in source control) and the core-candidate cou</t>
        </is>
      </c>
      <c r="N30" s="4" t="inlineStr">
        <is>
          <t>- Batch, cache and Flex pricing at each vendor (volatile) - Anthropic's Usage Policy effective 12 November 2026, for the suspension wording</t>
        </is>
      </c>
      <c r="O30" s="4" t="inlineStr">
        <is>
          <t>Draft</t>
        </is>
      </c>
      <c r="P30" s="4" t="inlineStr">
        <is>
          <t>Not required (CP4b)</t>
        </is>
      </c>
      <c r="Q30" s="4" t="inlineStr"/>
      <c r="R30" s="4" t="inlineStr"/>
      <c r="S30" s="4" t="inlineStr">
        <is>
          <t>07_LinkedIn/LinkedIn_Series.docx, Post 26 · visual 08_Graphic/linkedin/P26.png</t>
        </is>
      </c>
    </row>
    <row r="31">
      <c r="A31" s="4" t="n">
        <v>27</v>
      </c>
      <c r="B31" s="4" t="n">
        <v>14</v>
      </c>
      <c r="C31" s="4" t="inlineStr">
        <is>
          <t>Views post</t>
        </is>
      </c>
      <c r="D31" s="5">
        <f>IF($E$1="","",$E$1+91)</f>
        <v/>
      </c>
      <c r="E31" s="4" t="inlineStr">
        <is>
          <t>08:00</t>
        </is>
      </c>
      <c r="F31" s="4" t="inlineStr">
        <is>
          <t>Software product company: your stack has to run where your customer runs</t>
        </is>
      </c>
      <c r="G31" s="4" t="inlineStr"/>
      <c r="H31" s="4" t="inlineStr">
        <is>
          <t>Post 28 (SU, Week 14). **Bridge:** A software company ships into estates it does not control; a start-up builds its own, fast. The next post shows what changes when runway, not the customer's estate, is the constraint.</t>
        </is>
      </c>
      <c r="I31" s="4" t="inlineStr">
        <is>
          <t>What is fine to run internally can be impossible to ship.</t>
        </is>
      </c>
      <c r="J31" s="4" t="inlineStr">
        <is>
          <t>If you ship software with GenAI built in that your customers install and run, this one is for you.</t>
        </is>
      </c>
      <c r="K31" s="4" t="n">
        <v>263</v>
      </c>
      <c r="L31" s="4" t="inlineStr">
        <is>
          <t>#SoftwareEngineering #EnterpriseArchitecture</t>
        </is>
      </c>
      <c r="M31" s="4" t="inlineStr">
        <is>
          <t>Weights compared with the regulated-FS view (eight paired bars, FS against SW), then the three layers whose advice changes most: L1 models (a support matrix and a bundled open-weight model replace the two-vendor portfolio), C1 gateway (routed by the customer's gateway, not the gateway of record), C7 security (sign and patch every shipped copy for the support period, with a redistribution gate in CI). A strip states "own a release plane, not a control plane" and the core-candidate count, 45 to 48</t>
        </is>
      </c>
      <c r="N31" s="4" t="inlineStr">
        <is>
          <t>- Hosted-model retirement dates and the licences of the bundled open-weight models - CRA guidance and delegated acts (not read in full at drafting)</t>
        </is>
      </c>
      <c r="O31" s="4" t="inlineStr">
        <is>
          <t>Draft</t>
        </is>
      </c>
      <c r="P31" s="4" t="inlineStr">
        <is>
          <t>Not required (CP4b)</t>
        </is>
      </c>
      <c r="Q31" s="4" t="inlineStr"/>
      <c r="R31" s="4" t="inlineStr"/>
      <c r="S31" s="4" t="inlineStr">
        <is>
          <t>07_LinkedIn/LinkedIn_Series.docx, Post 27 · visual 08_Graphic/linkedin/P27.png</t>
        </is>
      </c>
    </row>
    <row r="32">
      <c r="A32" s="4" t="n">
        <v>28</v>
      </c>
      <c r="B32" s="4" t="n">
        <v>14</v>
      </c>
      <c r="C32" s="4" t="inlineStr">
        <is>
          <t>Views post</t>
        </is>
      </c>
      <c r="D32" s="5">
        <f>IF($E$1="","",$E$1+93)</f>
        <v/>
      </c>
      <c r="E32" s="4" t="inlineStr">
        <is>
          <t>08:00</t>
        </is>
      </c>
      <c r="F32" s="4" t="inlineStr">
        <is>
          <t>Start-up: speed and runway first, with exits kept open cheaply</t>
        </is>
      </c>
      <c r="G32" s="4" t="inlineStr"/>
      <c r="H32" s="4" t="inlineStr">
        <is>
          <t>Post 27 (SW, Week 14). **Bridge:** The software company ships into estates it does not control; the start-up controls its own, and has to decide how much of the regulated firm's plane it can afford in its first fortnight.</t>
        </is>
      </c>
      <c r="I32" s="4" t="inlineStr">
        <is>
          <t>Each control must cost days, not quarters, and still keep the exits open.</t>
        </is>
      </c>
      <c r="J32" s="4" t="inlineStr">
        <is>
          <t>If you are building an AI-native product with a small team and a runway to watch, this one is for you.</t>
        </is>
      </c>
      <c r="K32" s="4" t="n">
        <v>272</v>
      </c>
      <c r="L32" s="4" t="inlineStr">
        <is>
          <t>#Startups #GenerativeAI</t>
        </is>
      </c>
      <c r="M32" s="4" t="inlineStr">
        <is>
          <t>Weights compared with the regulated-FS view (eight paired bars, FS against SU), then the three layers whose advice changes most: L1 models (one primary vendor plus a second qualified, first-party access allowed), L6 stores (tenant isolation becomes the first control problem), C4 identity (hosted customer identity, not a workforce directory). A strip lists the first-fortnight four and the core-candidate count, 45 to 57. Source: Part XV.1, XV.3, XV.4 and XV.5.</t>
        </is>
      </c>
      <c r="N32" s="4" t="inlineStr">
        <is>
          <t>- Credit programme terms and router fees (volatile; quarterly) - The current LiteLLM release line and advisory</t>
        </is>
      </c>
      <c r="O32" s="4" t="inlineStr">
        <is>
          <t>Draft</t>
        </is>
      </c>
      <c r="P32" s="4" t="inlineStr">
        <is>
          <t>Not required (CP4b)</t>
        </is>
      </c>
      <c r="Q32" s="4" t="inlineStr"/>
      <c r="R32" s="4" t="inlineStr"/>
      <c r="S32" s="4" t="inlineStr">
        <is>
          <t>07_LinkedIn/LinkedIn_Series.docx, Post 28 · visual 08_Graphic/linkedin/P28.png</t>
        </is>
      </c>
    </row>
    <row r="33">
      <c r="A33" s="4" t="n">
        <v>29</v>
      </c>
      <c r="B33" s="4" t="n">
        <v>15</v>
      </c>
      <c r="C33" s="4" t="inlineStr">
        <is>
          <t>Views post</t>
        </is>
      </c>
      <c r="D33" s="5">
        <f>IF($E$1="","",$E$1+98)</f>
        <v/>
      </c>
      <c r="E33" s="4" t="inlineStr">
        <is>
          <t>08:00</t>
        </is>
      </c>
      <c r="F33" s="4" t="inlineStr">
        <is>
          <t>AI-tools start-up: to be bought, fit the buyer's control plane</t>
        </is>
      </c>
      <c r="G33" s="4" t="inlineStr"/>
      <c r="H33" s="4" t="inlineStr">
        <is>
          <t>Post 30 (DV, Week 15). **Bridge:** A tools start-up sells one component of the buyer's control plane; an agentic software-delivery start-up sells a workload that runs inside it and inside the buyer's delivery chain at once.</t>
        </is>
      </c>
      <c r="I33" s="4" t="inlineStr">
        <is>
          <t>You win by designing for the buyer's "everything beneath the plane is replaceable" posture, not against it.</t>
        </is>
      </c>
      <c r="J33" s="4" t="inlineStr">
        <is>
          <t>If your start-up sells a gateway, guardrail, privacy, evaluation, retrieval or governance tool to enterprises, this one is for you.</t>
        </is>
      </c>
      <c r="K33" s="4" t="n">
        <v>271</v>
      </c>
      <c r="L33" s="4" t="inlineStr">
        <is>
          <t>#Startups #AIGovernance</t>
        </is>
      </c>
      <c r="M33" s="4" t="inlineStr">
        <is>
          <t>The integration contract, layer by layer then control by control: seventeen rows L1 → L9 then C1 → C8, each with what the buyer's stack expects and the interface the product should offer. Boxes beneath give the single test (evidence pack with the product in the path; removal by one route and one manifest entry) and the three delivery forms from one build. Source: Part XVI.4 and XVI.5.</t>
        </is>
      </c>
      <c r="N33" s="4" t="inlineStr">
        <is>
          <t>- Closing status of the announced acquisitions (Promptfoo, OpenRouter) and any new ones in the tool categories - OpenTelemetry GenAI conventions release status</t>
        </is>
      </c>
      <c r="O33" s="4" t="inlineStr">
        <is>
          <t>Draft</t>
        </is>
      </c>
      <c r="P33" s="4" t="inlineStr">
        <is>
          <t>Not required (CP4b)</t>
        </is>
      </c>
      <c r="Q33" s="4" t="inlineStr"/>
      <c r="R33" s="4" t="inlineStr"/>
      <c r="S33" s="4" t="inlineStr">
        <is>
          <t>07_LinkedIn/LinkedIn_Series.docx, Post 29 · visual 08_Graphic/linkedin/P29.png</t>
        </is>
      </c>
    </row>
    <row r="34">
      <c r="A34" s="4" t="n">
        <v>30</v>
      </c>
      <c r="B34" s="4" t="n">
        <v>15</v>
      </c>
      <c r="C34" s="4" t="inlineStr">
        <is>
          <t>Views post</t>
        </is>
      </c>
      <c r="D34" s="5">
        <f>IF($E$1="","",$E$1+100)</f>
        <v/>
      </c>
      <c r="E34" s="4" t="inlineStr">
        <is>
          <t>08:00</t>
        </is>
      </c>
      <c r="F34" s="4" t="inlineStr">
        <is>
          <t>Agentic-SDLC start-up: code confidentiality and audit trails decide the deal</t>
        </is>
      </c>
      <c r="G34" s="4" t="inlineStr"/>
      <c r="H34" s="4" t="inlineStr">
        <is>
          <t>Post 29 (AT, Week 15). **Bridge:** A tools start-up is a call-out inside the buyer's plane; a coding-agent start-up runs inside that plane and the buyer's delivery chain at once, holding the most sensitive asset the buyer has.</t>
        </is>
      </c>
      <c r="I34" s="4" t="inlineStr">
        <is>
          <t>Trust is earned in the pull request, not the demo.</t>
        </is>
      </c>
      <c r="J34" s="4" t="inlineStr">
        <is>
          <t>If your start-up sells coding agents, AI code review, test generation or migration agents to enterprise engineering teams, this one is for you.</t>
        </is>
      </c>
      <c r="K34" s="4" t="n">
        <v>265</v>
      </c>
      <c r="L34" s="4" t="inlineStr">
        <is>
          <t>#DevOps #AIGovernance</t>
        </is>
      </c>
      <c r="M34" s="4" t="inlineStr">
        <is>
          <t>The integration contract, layer by layer then control by control: seventeen rows L1 → L9 then C1 → C8, with what the buyer's stack expects and what the coding agent must do. A band beneath shows the pull-request boundary (agent branch, the customer's CI and scanning, a named human merges), beside a box of what the agent must never do. Source: Part XVII.4 and XVII.5.</t>
        </is>
      </c>
      <c r="N34" s="4" t="inlineStr">
        <is>
          <t>- Retention terms per model and tool, including the end-of-2026 Copilot exemption for Claude Fable - Ownership and end-of-sale events among the coding-agent incumbents</t>
        </is>
      </c>
      <c r="O34" s="4" t="inlineStr">
        <is>
          <t>Draft</t>
        </is>
      </c>
      <c r="P34" s="4" t="inlineStr">
        <is>
          <t>Not required (CP4b)</t>
        </is>
      </c>
      <c r="Q34" s="4" t="inlineStr"/>
      <c r="R34" s="4" t="inlineStr"/>
      <c r="S34" s="4" t="inlineStr">
        <is>
          <t>07_LinkedIn/LinkedIn_Series.docx, Post 30 · visual 08_Graphic/linkedin/P30.png</t>
        </is>
      </c>
    </row>
    <row r="35">
      <c r="A35" s="4" t="n">
        <v>31</v>
      </c>
      <c r="B35" s="4" t="n">
        <v>16</v>
      </c>
      <c r="C35" s="4" t="inlineStr">
        <is>
          <t>Views post</t>
        </is>
      </c>
      <c r="D35" s="5">
        <f>IF($E$1="","",$E$1+105)</f>
        <v/>
      </c>
      <c r="E35" s="4" t="inlineStr">
        <is>
          <t>08:00</t>
        </is>
      </c>
      <c r="F35" s="4" t="inlineStr">
        <is>
          <t>Agent-provider start-up: an agent the customer can't govern isn't bought</t>
        </is>
      </c>
      <c r="G35" s="4" t="inlineStr"/>
      <c r="H35" s="4" t="inlineStr">
        <is>
          <t>Post 32 (Close, Week 16). **Bridge:** The agent start-up is the hardest case of fitting someone else's control plane; the close asks what survives across all seven lenses once the owner of the plane changes.</t>
        </is>
      </c>
      <c r="I35" s="4" t="inlineStr">
        <is>
          <t>Capability wins the demo; governance fit wins the purchase.</t>
        </is>
      </c>
      <c r="J35" s="4" t="inlineStr">
        <is>
          <t>If your start-up sells agents that do work inside a customer's business, this one is for you.</t>
        </is>
      </c>
      <c r="K35" s="4" t="n">
        <v>264</v>
      </c>
      <c r="L35" s="4" t="inlineStr">
        <is>
          <t>#AIAgents #AIGovernance</t>
        </is>
      </c>
      <c r="M35" s="4" t="inlineStr">
        <is>
          <t>The integration contract, layer by layer then control by control: seventeen rows L1 → L9 then C1 → C8, with what the customer's stack expects and the interface the agent must offer, the seven clauses marked against the rows they cover. A box gives the three-part test (audit every output, revoke with one identity, switch model with one route). Source: Part XVIII.4 and XVIII.5.</t>
        </is>
      </c>
      <c r="N35" s="4" t="inlineStr">
        <is>
          <t>- ID-JAG draft status (draft -04 expires 22 November 2026) and MCP authorisation changes - OpenTelemetry GenAI conventions release status; marketplace listing rules</t>
        </is>
      </c>
      <c r="O35" s="4" t="inlineStr">
        <is>
          <t>Draft</t>
        </is>
      </c>
      <c r="P35" s="4" t="inlineStr">
        <is>
          <t>Not required (CP4b)</t>
        </is>
      </c>
      <c r="Q35" s="4" t="inlineStr"/>
      <c r="R35" s="4" t="inlineStr"/>
      <c r="S35" s="4" t="inlineStr">
        <is>
          <t>07_LinkedIn/LinkedIn_Series.docx, Post 31 · visual 08_Graphic/linkedin/P31.png</t>
        </is>
      </c>
    </row>
    <row r="36">
      <c r="A36" s="4" t="n">
        <v>32</v>
      </c>
      <c r="B36" s="4" t="n">
        <v>16</v>
      </c>
      <c r="C36" s="4" t="inlineStr">
        <is>
          <t>Views post</t>
        </is>
      </c>
      <c r="D36" s="5">
        <f>IF($E$1="","",$E$1+107)</f>
        <v/>
      </c>
      <c r="E36" s="4" t="inlineStr">
        <is>
          <t>08:00</t>
        </is>
      </c>
      <c r="F36" s="4" t="inlineStr">
        <is>
          <t>Close: what doesn't change across all seven lenses</t>
        </is>
      </c>
      <c r="G36" s="4" t="inlineStr"/>
      <c r="H36" s="4" t="inlineStr">
        <is>
          <t>Post 31 (AG, Week 16). **Bridge:** The agent start-up showed the plane from the guest's side; the close lays all seven lenses over the seventeen layers and controls and keeps what none of them changes.</t>
        </is>
      </c>
      <c r="I36" s="4" t="inlineStr">
        <is>
          <t>Lenses change the defaults. They do not change the discipline.</t>
        </is>
      </c>
      <c r="J36" s="4" t="inlineStr">
        <is>
          <t>If you have followed one lens of this run, or all seven, this post closes it.</t>
        </is>
      </c>
      <c r="K36" s="4" t="n">
        <v>269</v>
      </c>
      <c r="L36" s="4" t="inlineStr">
        <is>
          <t>#EnterpriseArchitecture #AIGovernance</t>
        </is>
      </c>
      <c r="M36" s="4" t="inlineStr">
        <is>
          <t>A heat map: the seventeen layers and controls as rows (L1 → L9 then C1 → C8), the seven views as columns (FS as the baseline, then TS, SW, SU, AT, DV, AG), each cell shaded "holds", "adjusted" or "changes" by the author's reading of each Part's layer-by-layer table. Rows where no lens changes the answer are marked; a side panel lists the six things that hold in all seven. Source: §5 of Parts XIII–XVIII against synthesis I.2.</t>
        </is>
      </c>
      <c r="N36" s="4" t="inlineStr">
        <is>
          <t>- Whether the PLD date has passed when the post goes out (adjust "From 9 December 2026" to "Since 9 December 2026") - Any change to the view Parts' layer tables since drafting, which would change the shading</t>
        </is>
      </c>
      <c r="O36" s="4" t="inlineStr">
        <is>
          <t>Draft</t>
        </is>
      </c>
      <c r="P36" s="4" t="inlineStr">
        <is>
          <t>Not required (CP4b)</t>
        </is>
      </c>
      <c r="Q36" s="4" t="inlineStr"/>
      <c r="R36" s="4" t="inlineStr"/>
      <c r="S36" s="4" t="inlineStr">
        <is>
          <t>07_LinkedIn/LinkedIn_Series.docx, Post 32 · visual 08_Graphic/linkedin/P32.png</t>
        </is>
      </c>
    </row>
  </sheetData>
  <dataValidations count="1">
    <dataValidation sqref="O4:O36" showDropDown="0" showInputMessage="0" showErrorMessage="0" allowBlank="1" type="list">
      <formula1>"Draft,Anecdote added,Scheduled,Published,Skipped"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2026-10-10T15:48:18Z</dcterms:created>
  <dcterms:modified xmlns:dcterms="http://purl.org/dc/terms/" xmlns:xsi="http://www.w3.org/2001/XMLSchema-instance" xsi:type="dcterms:W3CDTF">2026-10-10T15:48:18Z</dcterms:modified>
</cp:coreProperties>
</file>